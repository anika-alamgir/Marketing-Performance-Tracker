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" sheetId="2" r:id="rId6"/>
    <sheet state="visible" name="Settings" sheetId="3" r:id="rId7"/>
    <sheet state="visible" name="Pivots" sheetId="4" r:id="rId8"/>
  </sheets>
  <definedNames/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<sst xmlns="http://schemas.openxmlformats.org/spreadsheetml/2006/main" count="1181" uniqueCount="129">
  <si>
    <t>This Year</t>
  </si>
  <si>
    <t>Start Date</t>
  </si>
  <si>
    <t>End Date</t>
  </si>
  <si>
    <t>TOTAL SALES</t>
  </si>
  <si>
    <t>TOTAL LEADS</t>
  </si>
  <si>
    <t>LEAD COST</t>
  </si>
  <si>
    <t>Navigation</t>
  </si>
  <si>
    <t>Data</t>
  </si>
  <si>
    <t>Pivots</t>
  </si>
  <si>
    <t>Settings</t>
  </si>
  <si>
    <t>MARKETING OVERVIEW</t>
  </si>
  <si>
    <t>LEADS BY LEADS SOURCES</t>
  </si>
  <si>
    <t>SALES $ BY LEADSOURCE</t>
  </si>
  <si>
    <t>MONTHLY SALES TREND</t>
  </si>
  <si>
    <t>Date</t>
  </si>
  <si>
    <t>Customer Name</t>
  </si>
  <si>
    <t>Lead Cost</t>
  </si>
  <si>
    <t>Appointment</t>
  </si>
  <si>
    <t>Sales Revenue ($)</t>
  </si>
  <si>
    <t>Lead Source</t>
  </si>
  <si>
    <t>Leads</t>
  </si>
  <si>
    <t>Appt. Count</t>
  </si>
  <si>
    <t>Sales Count</t>
  </si>
  <si>
    <t>Sarah Johnson</t>
  </si>
  <si>
    <t>no</t>
  </si>
  <si>
    <t>Google Ads</t>
  </si>
  <si>
    <t>Mark Thompson</t>
  </si>
  <si>
    <t>yes</t>
  </si>
  <si>
    <t>Facebook Ads</t>
  </si>
  <si>
    <t>Emily Davis</t>
  </si>
  <si>
    <t>Bing</t>
  </si>
  <si>
    <t>Michael Brown</t>
  </si>
  <si>
    <t>Network</t>
  </si>
  <si>
    <t>Jessica Wilson</t>
  </si>
  <si>
    <t>Newspaper</t>
  </si>
  <si>
    <t>David Martinez</t>
  </si>
  <si>
    <t>Jennifer Anderson</t>
  </si>
  <si>
    <t>Christopher Thomas</t>
  </si>
  <si>
    <t>Amanda Garcia</t>
  </si>
  <si>
    <t>Daniel Robinson</t>
  </si>
  <si>
    <t>Elizabeth Clark</t>
  </si>
  <si>
    <t>James Lewis</t>
  </si>
  <si>
    <t>Ashley Walker</t>
  </si>
  <si>
    <t>Matthew Hall</t>
  </si>
  <si>
    <t>Patricia Allen</t>
  </si>
  <si>
    <t>Joshua Young</t>
  </si>
  <si>
    <t>Linda King</t>
  </si>
  <si>
    <t>Joseph Wright</t>
  </si>
  <si>
    <t>Barbara Scott</t>
  </si>
  <si>
    <t>Andrew Green</t>
  </si>
  <si>
    <t>Susan Adams</t>
  </si>
  <si>
    <t>Ryan Baker</t>
  </si>
  <si>
    <t>Margaret Gonzalez</t>
  </si>
  <si>
    <t>William Nelson</t>
  </si>
  <si>
    <t>Jessica Carter</t>
  </si>
  <si>
    <t>Thomas Mitchell</t>
  </si>
  <si>
    <t>Nancy Perez</t>
  </si>
  <si>
    <t>Charles Roberts</t>
  </si>
  <si>
    <t>Karen Turner</t>
  </si>
  <si>
    <t>Christopher Phillips</t>
  </si>
  <si>
    <t>Paul Edwards</t>
  </si>
  <si>
    <t>Sandra Collins</t>
  </si>
  <si>
    <t>George Stewart</t>
  </si>
  <si>
    <t>Donna Sanchez</t>
  </si>
  <si>
    <t>Kenneth Morris</t>
  </si>
  <si>
    <t>Carol Rogers</t>
  </si>
  <si>
    <t>Steven Reed</t>
  </si>
  <si>
    <t>Helen Cook</t>
  </si>
  <si>
    <t>Edward Morgan</t>
  </si>
  <si>
    <t>Michelle Bell</t>
  </si>
  <si>
    <t>Brian Murphy</t>
  </si>
  <si>
    <t>Deborah Bailey</t>
  </si>
  <si>
    <t>Anthony Cooper</t>
  </si>
  <si>
    <t>Kimberly Richardson</t>
  </si>
  <si>
    <t>Jason Cox</t>
  </si>
  <si>
    <t>Elizabeth Howard</t>
  </si>
  <si>
    <t>Jeffrey Ward</t>
  </si>
  <si>
    <t>Sharon Torres</t>
  </si>
  <si>
    <t>Frank Peterson</t>
  </si>
  <si>
    <t>Cynthia Gray</t>
  </si>
  <si>
    <t>Scott Ramirez</t>
  </si>
  <si>
    <t>Kathleen James</t>
  </si>
  <si>
    <t>Eric Watson</t>
  </si>
  <si>
    <t>Amy Brooks</t>
  </si>
  <si>
    <t>Stephen Kelly</t>
  </si>
  <si>
    <t>Angela Sanders</t>
  </si>
  <si>
    <t>Larry Price</t>
  </si>
  <si>
    <t>Rebecca Bennett</t>
  </si>
  <si>
    <t>Timothy Wood</t>
  </si>
  <si>
    <t>Virginia Barnes</t>
  </si>
  <si>
    <t>Dennis Ross</t>
  </si>
  <si>
    <t>Pamela Henderson</t>
  </si>
  <si>
    <t>Patrick Coleman</t>
  </si>
  <si>
    <t>Christine Jenkins</t>
  </si>
  <si>
    <t>Tyler Perry</t>
  </si>
  <si>
    <t>Brenda Powell</t>
  </si>
  <si>
    <t>Gregory Long</t>
  </si>
  <si>
    <t>Nicole Patterson</t>
  </si>
  <si>
    <t>Todays Date</t>
  </si>
  <si>
    <t>Dashboard Date Options</t>
  </si>
  <si>
    <t>Chart Time Start Date</t>
  </si>
  <si>
    <t>Chart Time End Date</t>
  </si>
  <si>
    <t>This Quarter</t>
  </si>
  <si>
    <t>This Month</t>
  </si>
  <si>
    <t>This Week</t>
  </si>
  <si>
    <t>Last Year</t>
  </si>
  <si>
    <t>Last Quarter</t>
  </si>
  <si>
    <t>Last Month</t>
  </si>
  <si>
    <t>Last Week</t>
  </si>
  <si>
    <t>Today</t>
  </si>
  <si>
    <t>Yesterday</t>
  </si>
  <si>
    <t>MTD</t>
  </si>
  <si>
    <t>Date - Month</t>
  </si>
  <si>
    <t>SUM of Leads</t>
  </si>
  <si>
    <t>SUM of Appt. Count</t>
  </si>
  <si>
    <t>Jan</t>
  </si>
  <si>
    <t>Feb</t>
  </si>
  <si>
    <t>Mar</t>
  </si>
  <si>
    <t>Apr</t>
  </si>
  <si>
    <t>May</t>
  </si>
  <si>
    <t>Jun</t>
  </si>
  <si>
    <t>Grand Total</t>
  </si>
  <si>
    <t>Jul</t>
  </si>
  <si>
    <t>Aug</t>
  </si>
  <si>
    <t>Sep</t>
  </si>
  <si>
    <t>Oct</t>
  </si>
  <si>
    <t>Nov</t>
  </si>
  <si>
    <t>Dec</t>
  </si>
  <si>
    <t>SUM of Sales Revenue 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</si>
</sst>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[$£-809]#,##0.00"/>
    <numFmt numFmtId="166" formatCode="[$$]#,##0.00"/>
    <numFmt numFmtId="167" formatCode="dd/mm/yyyy"/>
    <numFmt numFmtId="168" formatCode="m/d/yyyy h:mm:ss"/>
  </numFmts>
  <fonts count="15">
    <font>
      <sz val="10.0"/>
      <color rgb="FF000000"/>
      <name val="Arial"/>
      <scheme val="minor"/>
    </font>
    <font>
      <color theme="1"/>
      <name val="Roboto"/>
    </font>
    <font>
      <b/>
      <sz val="14.0"/>
      <color rgb="FFFFFFFF"/>
      <name val="Roboto"/>
    </font>
    <font>
      <sz val="11.0"/>
      <color rgb="FFFFFFFF"/>
      <name val="Roboto"/>
    </font>
    <font>
      <b/>
      <sz val="25.0"/>
      <color rgb="FFFFFFFF"/>
      <name val="Roboto"/>
    </font>
    <font>
      <b/>
      <sz val="12.0"/>
      <color rgb="FFFFFFFF"/>
      <name val="Roboto"/>
    </font>
    <font>
      <b/>
      <sz val="11.0"/>
      <color rgb="FFFFFFFF"/>
      <name val="Roboto"/>
    </font>
    <font>
      <b/>
      <color rgb="FFFFFFFF"/>
      <name val="Roboto"/>
    </font>
    <font>
      <b/>
      <color theme="1"/>
      <name val="Roboto"/>
    </font>
    <font>
      <u/>
      <color rgb="FFFFFFFF"/>
      <name val="Roboto"/>
    </font>
    <font>
      <b/>
      <sz val="12.0"/>
      <color theme="1"/>
      <name val="Roboto"/>
    </font>
    <font>
      <color theme="1"/>
      <name val="Arial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C3A49"/>
        <bgColor rgb="FF2C3A49"/>
      </patternFill>
    </fill>
    <fill>
      <patternFill patternType="solid">
        <fgColor rgb="FFD9D9D9"/>
        <bgColor rgb="FFD9D9D9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3" fontId="2" numFmtId="0" xfId="0" applyAlignment="1" applyFont="1">
      <alignment readingOrder="0" vertical="center"/>
    </xf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3" fontId="3" numFmtId="0" xfId="0" applyAlignment="1" applyFont="1">
      <alignment horizontal="center" readingOrder="0"/>
    </xf>
    <xf borderId="0" fillId="3" fontId="3" numFmtId="0" xfId="0" applyFont="1"/>
    <xf borderId="0" fillId="3" fontId="3" numFmtId="164" xfId="0" applyAlignment="1" applyFont="1" applyNumberFormat="1">
      <alignment horizontal="center" readingOrder="0"/>
    </xf>
    <xf borderId="0" fillId="6" fontId="4" numFmtId="165" xfId="0" applyAlignment="1" applyFont="1" applyNumberFormat="1">
      <alignment readingOrder="0" vertical="top"/>
    </xf>
    <xf borderId="0" fillId="6" fontId="4" numFmtId="166" xfId="0" applyAlignment="1" applyFont="1" applyNumberFormat="1">
      <alignment horizontal="left" readingOrder="0" vertical="top"/>
    </xf>
    <xf borderId="0" fillId="7" fontId="4" numFmtId="3" xfId="0" applyAlignment="1" applyFont="1" applyNumberFormat="1">
      <alignment horizontal="left" readingOrder="0" vertical="top"/>
    </xf>
    <xf borderId="0" fillId="8" fontId="4" numFmtId="0" xfId="0" applyAlignment="1" applyFont="1">
      <alignment horizontal="left" readingOrder="0" vertical="top"/>
    </xf>
    <xf borderId="0" fillId="9" fontId="4" numFmtId="166" xfId="0" applyAlignment="1" applyFont="1" applyNumberFormat="1">
      <alignment horizontal="left" readingOrder="0" vertical="top"/>
    </xf>
    <xf borderId="0" fillId="3" fontId="3" numFmtId="164" xfId="0" applyAlignment="1" applyFont="1" applyNumberFormat="1">
      <alignment horizontal="center"/>
    </xf>
    <xf borderId="0" fillId="5" fontId="5" numFmtId="165" xfId="0" applyAlignment="1" applyFont="1" applyNumberFormat="1">
      <alignment horizontal="left" readingOrder="0" vertical="center"/>
    </xf>
    <xf borderId="0" fillId="6" fontId="6" numFmtId="165" xfId="0" applyAlignment="1" applyFont="1" applyNumberFormat="1">
      <alignment readingOrder="0" vertical="top"/>
    </xf>
    <xf borderId="0" fillId="7" fontId="6" numFmtId="165" xfId="0" applyAlignment="1" applyFont="1" applyNumberFormat="1">
      <alignment readingOrder="0" vertical="top"/>
    </xf>
    <xf borderId="0" fillId="8" fontId="6" numFmtId="165" xfId="0" applyAlignment="1" applyFont="1" applyNumberFormat="1">
      <alignment readingOrder="0" vertical="top"/>
    </xf>
    <xf borderId="0" fillId="9" fontId="6" numFmtId="165" xfId="0" applyAlignment="1" applyFont="1" applyNumberFormat="1">
      <alignment readingOrder="0" vertical="top"/>
    </xf>
    <xf borderId="0" fillId="6" fontId="7" numFmtId="0" xfId="0" applyAlignment="1" applyFont="1">
      <alignment readingOrder="0" vertical="center"/>
    </xf>
    <xf borderId="0" fillId="6" fontId="8" numFmtId="0" xfId="0" applyFont="1"/>
    <xf borderId="0" fillId="4" fontId="1" numFmtId="0" xfId="0" applyAlignment="1" applyFont="1">
      <alignment vertical="top"/>
    </xf>
    <xf borderId="0" fillId="3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4" fontId="1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0" fontId="1" numFmtId="0" xfId="0" applyFont="1"/>
    <xf borderId="0" fillId="0" fontId="11" numFmtId="0" xfId="0" applyAlignment="1" applyFont="1">
      <alignment vertical="bottom"/>
    </xf>
    <xf borderId="0" fillId="10" fontId="11" numFmtId="0" xfId="0" applyAlignment="1" applyFill="1" applyFont="1">
      <alignment vertical="bottom"/>
    </xf>
    <xf borderId="0" fillId="0" fontId="11" numFmtId="167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10" fontId="11" numFmtId="0" xfId="0" applyAlignment="1" applyFon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center"/>
    </xf>
    <xf borderId="0" fillId="10" fontId="12" numFmtId="0" xfId="0" applyFont="1"/>
    <xf borderId="0" fillId="11" fontId="13" numFmtId="0" xfId="0" applyAlignment="1" applyFill="1" applyFont="1">
      <alignment readingOrder="0"/>
    </xf>
    <xf borderId="0" fillId="11" fontId="14" numFmtId="164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0" fillId="4" fontId="14" numFmtId="0" xfId="0" applyAlignment="1" applyFont="1">
      <alignment readingOrder="0"/>
    </xf>
    <xf borderId="0" fillId="4" fontId="14" numFmtId="164" xfId="0" applyAlignment="1" applyFont="1" applyNumberFormat="1">
      <alignment readingOrder="0"/>
    </xf>
    <xf borderId="0" fillId="4" fontId="14" numFmtId="167" xfId="0" applyAlignment="1" applyFont="1" applyNumberFormat="1">
      <alignment readingOrder="0"/>
    </xf>
    <xf borderId="0" fillId="0" fontId="12" numFmtId="0" xfId="0" applyAlignment="1" applyFont="1">
      <alignment horizontal="left"/>
    </xf>
    <xf borderId="0" fillId="0" fontId="12" numFmtId="0" xfId="0" applyFont="1"/>
    <xf borderId="0" fillId="0" fontId="12" numFmtId="168" xfId="0" applyFont="1" applyNumberFormat="1"/>
    <xf borderId="0" fillId="0" fontId="1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Pivots!$H$1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DF8F8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Pt>
            <c:idx val="3"/>
            <c:spPr>
              <a:solidFill>
                <a:srgbClr val="B6D7A8"/>
              </a:solidFill>
            </c:spPr>
          </c:dPt>
          <c:dPt>
            <c:idx val="4"/>
            <c:spPr>
              <a:solidFill>
                <a:srgbClr val="F9CB9C"/>
              </a:solidFill>
            </c:spPr>
          </c:dPt>
          <c:dPt>
            <c:idx val="5"/>
            <c:spPr>
              <a:solidFill>
                <a:srgbClr val="A7E1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Pivots!$G$2:$G$7</c:f>
            </c:strRef>
          </c:cat>
          <c:val>
            <c:numRef>
              <c:f>Pivots!$H$2:$H$7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Pivots!$B$19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Pivots!$A$20:$A$24</c:f>
            </c:strRef>
          </c:cat>
          <c:val>
            <c:numRef>
              <c:f>Pivots!$B$20:$B$24</c:f>
              <c:numCache/>
            </c:numRef>
          </c:val>
        </c:ser>
        <c:axId val="1984430714"/>
        <c:axId val="1230652836"/>
      </c:barChart>
      <c:catAx>
        <c:axId val="1984430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Lead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1230652836"/>
      </c:catAx>
      <c:valAx>
        <c:axId val="1230652836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1984430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CCCCCC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Pivots!$B$28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Pivots!$A$29:$A$40</c:f>
            </c:strRef>
          </c:cat>
          <c:val>
            <c:numRef>
              <c:f>Pivots!$B$29:$B$40</c:f>
              <c:numCache/>
            </c:numRef>
          </c:val>
        </c:ser>
        <c:axId val="159428865"/>
        <c:axId val="770199017"/>
      </c:barChart>
      <c:catAx>
        <c:axId val="159428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199017"/>
      </c:catAx>
      <c:valAx>
        <c:axId val="770199017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288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Pivots!$B$1</c:f>
            </c:strRef>
          </c:tx>
          <c:spPr>
            <a:solidFill>
              <a:srgbClr val="A9BBDA">
                <a:alpha val="30000"/>
              </a:srgbClr>
            </a:solidFill>
            <a:ln cmpd="sng">
              <a:solidFill>
                <a:srgbClr val="A9BBDA">
                  <a:alpha val="100000"/>
                </a:srgbClr>
              </a:solidFill>
            </a:ln>
          </c:spPr>
          <c:cat>
            <c:strRef>
              <c:f>Pivots!$A$2:$A$13</c:f>
            </c:strRef>
          </c:cat>
          <c:val>
            <c:numRef>
              <c:f>Pivots!$B$2:$B$13</c:f>
              <c:numCache/>
            </c:numRef>
          </c:val>
        </c:ser>
        <c:ser>
          <c:idx val="1"/>
          <c:order val="1"/>
          <c:tx>
            <c:strRef>
              <c:f>Pivots!$C$1</c:f>
            </c:strRef>
          </c:tx>
          <c:spPr>
            <a:solidFill>
              <a:srgbClr val="B6D7A8">
                <a:alpha val="30000"/>
              </a:srgbClr>
            </a:solidFill>
            <a:ln cmpd="sng">
              <a:solidFill>
                <a:srgbClr val="B6D7A8">
                  <a:alpha val="100000"/>
                </a:srgbClr>
              </a:solidFill>
            </a:ln>
          </c:spPr>
          <c:cat>
            <c:strRef>
              <c:f>Pivots!$A$2:$A$13</c:f>
            </c:strRef>
          </c:cat>
          <c:val>
            <c:numRef>
              <c:f>Pivots!$C$2:$C$13</c:f>
              <c:numCache/>
            </c:numRef>
          </c:val>
        </c:ser>
        <c:axId val="213082395"/>
        <c:axId val="1490732037"/>
      </c:areaChart>
      <c:catAx>
        <c:axId val="213082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1490732037"/>
      </c:catAx>
      <c:valAx>
        <c:axId val="1490732037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213082395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Pivots!$B$1</c:f>
            </c:strRef>
          </c:tx>
          <c:spPr>
            <a:solidFill>
              <a:srgbClr val="A9BBDA">
                <a:alpha val="30000"/>
              </a:srgbClr>
            </a:solidFill>
            <a:ln cmpd="sng">
              <a:solidFill>
                <a:srgbClr val="A9BBDA">
                  <a:alpha val="100000"/>
                </a:srgbClr>
              </a:solidFill>
            </a:ln>
          </c:spPr>
          <c:cat>
            <c:strRef>
              <c:f>Pivots!$A$2:$A$14</c:f>
            </c:strRef>
          </c:cat>
          <c:val>
            <c:numRef>
              <c:f>Pivots!$B$2:$B$14</c:f>
              <c:numCache/>
            </c:numRef>
          </c:val>
        </c:ser>
        <c:ser>
          <c:idx val="1"/>
          <c:order val="1"/>
          <c:tx>
            <c:strRef>
              <c:f>Pivots!$C$1</c:f>
            </c:strRef>
          </c:tx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cat>
            <c:strRef>
              <c:f>Pivots!$A$2:$A$14</c:f>
            </c:strRef>
          </c:cat>
          <c:val>
            <c:numRef>
              <c:f>Pivots!$C$2:$C$14</c:f>
              <c:numCache/>
            </c:numRef>
          </c:val>
        </c:ser>
        <c:axId val="459184050"/>
        <c:axId val="1426721019"/>
      </c:areaChart>
      <c:catAx>
        <c:axId val="459184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1426721019"/>
      </c:catAx>
      <c:valAx>
        <c:axId val="1426721019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Roboto"/>
              </a:defRPr>
            </a:pPr>
          </a:p>
        </c:txPr>
        <c:crossAx val="459184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999999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Pivots!$H$1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DF8F8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Pt>
            <c:idx val="3"/>
            <c:spPr>
              <a:solidFill>
                <a:srgbClr val="B6D7A8"/>
              </a:solidFill>
            </c:spPr>
          </c:dPt>
          <c:dPt>
            <c:idx val="4"/>
            <c:spPr>
              <a:solidFill>
                <a:srgbClr val="F9CB9C"/>
              </a:solidFill>
            </c:spPr>
          </c:dPt>
          <c:dPt>
            <c:idx val="5"/>
            <c:spPr>
              <a:solidFill>
                <a:srgbClr val="A7E1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Pivots!$G$2:$G$7</c:f>
            </c:strRef>
          </c:cat>
          <c:val>
            <c:numRef>
              <c:f>Pivots!$H$2:$H$7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Pivots!$B$19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Pivots!$A$20:$A$24</c:f>
            </c:strRef>
          </c:cat>
          <c:val>
            <c:numRef>
              <c:f>Pivots!$B$20:$B$24</c:f>
              <c:numCache/>
            </c:numRef>
          </c:val>
        </c:ser>
        <c:axId val="1023441909"/>
        <c:axId val="979169281"/>
      </c:barChart>
      <c:catAx>
        <c:axId val="1023441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Lead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979169281"/>
      </c:catAx>
      <c:valAx>
        <c:axId val="979169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1023441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CCCCCC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Pivots!$B$28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Pivots!$A$29:$A$40</c:f>
            </c:strRef>
          </c:cat>
          <c:val>
            <c:numRef>
              <c:f>Pivots!$B$29:$B$40</c:f>
              <c:numCache/>
            </c:numRef>
          </c:val>
        </c:ser>
        <c:axId val="128000150"/>
        <c:axId val="1107413506"/>
      </c:barChart>
      <c:catAx>
        <c:axId val="128000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413506"/>
      </c:catAx>
      <c:valAx>
        <c:axId val="1107413506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00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Pivots!$B$1</c:f>
            </c:strRef>
          </c:tx>
          <c:spPr>
            <a:solidFill>
              <a:srgbClr val="A9BBDA">
                <a:alpha val="30000"/>
              </a:srgbClr>
            </a:solidFill>
            <a:ln cmpd="sng">
              <a:solidFill>
                <a:srgbClr val="A9BBDA">
                  <a:alpha val="100000"/>
                </a:srgbClr>
              </a:solidFill>
            </a:ln>
          </c:spPr>
          <c:cat>
            <c:strRef>
              <c:f>Pivots!$A$2:$A$13</c:f>
            </c:strRef>
          </c:cat>
          <c:val>
            <c:numRef>
              <c:f>Pivots!$B$2:$B$13</c:f>
              <c:numCache/>
            </c:numRef>
          </c:val>
        </c:ser>
        <c:ser>
          <c:idx val="1"/>
          <c:order val="1"/>
          <c:tx>
            <c:strRef>
              <c:f>Pivots!$C$1</c:f>
            </c:strRef>
          </c:tx>
          <c:spPr>
            <a:solidFill>
              <a:srgbClr val="B6D7A8">
                <a:alpha val="30000"/>
              </a:srgbClr>
            </a:solidFill>
            <a:ln cmpd="sng">
              <a:solidFill>
                <a:srgbClr val="B6D7A8">
                  <a:alpha val="100000"/>
                </a:srgbClr>
              </a:solidFill>
            </a:ln>
          </c:spPr>
          <c:cat>
            <c:strRef>
              <c:f>Pivots!$A$2:$A$13</c:f>
            </c:strRef>
          </c:cat>
          <c:val>
            <c:numRef>
              <c:f>Pivots!$C$2:$C$13</c:f>
              <c:numCache/>
            </c:numRef>
          </c:val>
        </c:ser>
        <c:axId val="746648930"/>
        <c:axId val="1736572811"/>
      </c:areaChart>
      <c:catAx>
        <c:axId val="746648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1736572811"/>
      </c:catAx>
      <c:valAx>
        <c:axId val="1736572811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746648930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image" Target="../media/image6.png"/><Relationship Id="rId9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19050</xdr:colOff>
      <xdr:row>20</xdr:row>
      <xdr:rowOff>142875</xdr:rowOff>
    </xdr:from>
    <xdr:ext cx="5162550" cy="2066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38</xdr:row>
      <xdr:rowOff>38100</xdr:rowOff>
    </xdr:from>
    <xdr:ext cx="6657975" cy="2524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37</xdr:col>
      <xdr:colOff>85725</xdr:colOff>
      <xdr:row>38</xdr:row>
      <xdr:rowOff>38100</xdr:rowOff>
    </xdr:from>
    <xdr:ext cx="7019925" cy="2524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133350</xdr:colOff>
      <xdr:row>19</xdr:row>
      <xdr:rowOff>19050</xdr:rowOff>
    </xdr:from>
    <xdr:ext cx="9001125" cy="2657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-57150</xdr:rowOff>
    </xdr:from>
    <xdr:ext cx="2905125" cy="9429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66675</xdr:colOff>
      <xdr:row>13</xdr:row>
      <xdr:rowOff>161925</xdr:rowOff>
    </xdr:from>
    <xdr:ext cx="1476375" cy="11144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285750</xdr:colOff>
      <xdr:row>7</xdr:row>
      <xdr:rowOff>190500</xdr:rowOff>
    </xdr:from>
    <xdr:ext cx="866775" cy="657225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142875</xdr:colOff>
      <xdr:row>7</xdr:row>
      <xdr:rowOff>142875</xdr:rowOff>
    </xdr:from>
    <xdr:ext cx="1009650" cy="76200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38100</xdr:colOff>
      <xdr:row>7</xdr:row>
      <xdr:rowOff>47625</xdr:rowOff>
    </xdr:from>
    <xdr:ext cx="1123950" cy="942975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209550</xdr:colOff>
      <xdr:row>6</xdr:row>
      <xdr:rowOff>190500</xdr:rowOff>
    </xdr:from>
    <xdr:ext cx="1219200" cy="1000125"/>
    <xdr:pic>
      <xdr:nvPicPr>
        <xdr:cNvPr id="0" name="image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857250</xdr:colOff>
      <xdr:row>33</xdr:row>
      <xdr:rowOff>133350</xdr:rowOff>
    </xdr:from>
    <xdr:ext cx="5838825" cy="26765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942975</xdr:colOff>
      <xdr:row>1</xdr:row>
      <xdr:rowOff>114300</xdr:rowOff>
    </xdr:from>
    <xdr:ext cx="4552950" cy="28194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533400</xdr:colOff>
      <xdr:row>17</xdr:row>
      <xdr:rowOff>180975</xdr:rowOff>
    </xdr:from>
    <xdr:ext cx="3857625" cy="24003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904875</xdr:colOff>
      <xdr:row>30</xdr:row>
      <xdr:rowOff>38100</xdr:rowOff>
    </xdr:from>
    <xdr:ext cx="78676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590550</xdr:colOff>
      <xdr:row>10</xdr:row>
      <xdr:rowOff>95250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66" sheet="Data"/>
  </cacheSource>
  <cacheFields>
    <cacheField name="Date" numFmtId="167">
      <sharedItems containsSemiMixedTypes="0" containsNonDate="0" containsDate="1" containsString="0" minDate="2025-01-01T00:00:00Z" maxDate="2026-01-01T00:00:00Z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  <fieldGroup base="0">
        <rangePr autoStart="0" autoEnd="0" groupBy="months" startDate="2025-01-01T00:00:00Z" endDate="2026-01-01T00:00:00Z"/>
        <groupItems>
          <s v="&lt;01/0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  <cacheField name="Customer Name" numFmtId="0">
      <sharedItems>
        <s v="Sarah Johnson"/>
        <s v="Mark Thompson"/>
        <s v="Emily Davis"/>
        <s v="Michael Brown"/>
        <s v="Jessica Wilson"/>
        <s v="David Martinez"/>
        <s v="Jennifer Anderson"/>
        <s v="Christopher Thomas"/>
        <s v="Amanda Garcia"/>
        <s v="Daniel Robinson"/>
        <s v="Elizabeth Clark"/>
        <s v="James Lewis"/>
        <s v="Ashley Walker"/>
        <s v="Matthew Hall"/>
        <s v="Patricia Allen"/>
        <s v="Joshua Young"/>
        <s v="Linda King"/>
        <s v="Joseph Wright"/>
        <s v="Barbara Scott"/>
        <s v="Andrew Green"/>
        <s v="Susan Adams"/>
        <s v="Ryan Baker"/>
        <s v="Margaret Gonzalez"/>
        <s v="William Nelson"/>
        <s v="Jessica Carter"/>
        <s v="Thomas Mitchell"/>
        <s v="Nancy Perez"/>
        <s v="Charles Roberts"/>
        <s v="Karen Turner"/>
        <s v="Christopher Phillips"/>
        <s v="Paul Edwards"/>
        <s v="Sandra Collins"/>
        <s v="George Stewart"/>
        <s v="Donna Sanchez"/>
        <s v="Kenneth Morris"/>
        <s v="Carol Rogers"/>
        <s v="Steven Reed"/>
        <s v="Helen Cook"/>
        <s v="Edward Morgan"/>
        <s v="Michelle Bell"/>
        <s v="Brian Murphy"/>
        <s v="Deborah Bailey"/>
        <s v="Anthony Cooper"/>
        <s v="Kimberly Richardson"/>
        <s v="Jason Cox"/>
        <s v="Elizabeth Howard"/>
        <s v="Jeffrey Ward"/>
        <s v="Sharon Torres"/>
        <s v="Frank Peterson"/>
        <s v="Cynthia Gray"/>
        <s v="Scott Ramirez"/>
        <s v="Kathleen James"/>
        <s v="Eric Watson"/>
        <s v="Amy Brooks"/>
        <s v="Stephen Kelly"/>
        <s v="Angela Sanders"/>
        <s v="Larry Price"/>
        <s v="Rebecca Bennett"/>
        <s v="Timothy Wood"/>
        <s v="Virginia Barnes"/>
        <s v="Dennis Ross"/>
        <s v="Pamela Henderson"/>
        <s v="Patrick Coleman"/>
        <s v="Christine Jenkins"/>
        <s v="Tyler Perry"/>
        <s v="Brenda Powell"/>
        <s v="Gregory Long"/>
        <s v="Nicole Patterson"/>
      </sharedItems>
    </cacheField>
    <cacheField name="Lead Cost" numFmtId="0">
      <sharedItems containsSemiMixedTypes="0" containsString="0" containsNumber="1">
        <n v="121.45"/>
        <n v="89.99"/>
        <n v="154.3"/>
        <n v="110.75"/>
        <n v="78.6"/>
        <n v="135.2"/>
        <n v="96.45"/>
        <n v="142.8"/>
        <n v="105.9"/>
        <n v="82.15"/>
        <n v="160.55"/>
        <n v="92.3"/>
        <n v="128.7"/>
        <n v="114.65"/>
        <n v="85.25"/>
        <n v="139.4"/>
        <n v="101.85"/>
        <n v="98.75"/>
        <n v="150.2"/>
        <n v="108.6"/>
        <n v="132.9"/>
        <n v="124.15"/>
        <n v="94.55"/>
        <n v="118.35"/>
        <n v="104.8"/>
        <n v="146.5"/>
        <n v="80.45"/>
        <n v="112.25"/>
        <n v="158.9"/>
        <n v="107.65"/>
        <n v="129.55"/>
        <n v="148.15"/>
        <n v="93.4"/>
        <n v="116.9"/>
        <n v="131.05"/>
        <n v="103.75"/>
        <n v="141.3"/>
        <n v="84.8"/>
        <n v="119.25"/>
        <n v="153.65"/>
        <n v="109.4"/>
        <n v="127.55"/>
        <n v="95.2"/>
        <n v="143.95"/>
        <n v="106.5"/>
        <n v="133.75"/>
        <n v="115.1"/>
        <n v="91.6"/>
        <n v="157.3"/>
        <n v="123.85"/>
        <n v="102.15"/>
        <n v="145.5"/>
        <n v="97.35"/>
        <n v="130.9"/>
        <n v="111.45"/>
        <n v="87.2"/>
        <n v="151.75"/>
        <n v="108.1"/>
        <n v="122.55"/>
        <n v="149.3"/>
        <n v="117.85"/>
        <n v="92.6"/>
        <n v="138.25"/>
        <n v="104.15"/>
        <n v="126.9"/>
        <n v="155.45"/>
        <n v="89.7"/>
        <n v="134.55"/>
      </sharedItems>
    </cacheField>
    <cacheField name="Appointment" numFmtId="0">
      <sharedItems>
        <s v="no"/>
        <s v="yes"/>
      </sharedItems>
    </cacheField>
    <cacheField name="Sales Revenue ($)" numFmtId="0">
      <sharedItems containsSemiMixedTypes="0" containsString="0" containsNumber="1" containsInteger="1">
        <n v="0.0"/>
        <n v="8500.0"/>
        <n v="12500.0"/>
        <n v="9800.0"/>
        <n v="15200.0"/>
        <n v="7600.0"/>
        <n v="10300.0"/>
        <n v="14500.0"/>
        <n v="8200.0"/>
        <n v="11900.0"/>
        <n v="16800.0"/>
        <n v="9500.0"/>
        <n v="15000.0"/>
        <n v="11400.0"/>
        <n v="9600.0"/>
        <n v="12300.0"/>
        <n v="11000.0"/>
        <n v="8900.0"/>
        <n v="16200.0"/>
        <n v="9100.0"/>
        <n v="13700.0"/>
        <n v="10800.0"/>
        <n v="15600.0"/>
        <n v="11200.0"/>
        <n v="9400.0"/>
        <n v="14100.0"/>
        <n v="8700.0"/>
        <n v="12900.0"/>
        <n v="16500.0"/>
        <n v="10200.0"/>
        <n v="15300.0"/>
        <n v="11800.0"/>
      </sharedItems>
    </cacheField>
    <cacheField name="Lead Source" numFmtId="0">
      <sharedItems>
        <s v="Google Ads"/>
        <s v="Facebook Ads"/>
        <s v="Bing"/>
        <s v="Network"/>
        <s v="Newspaper"/>
      </sharedItems>
    </cacheField>
    <cacheField name="Leads" numFmtId="0">
      <sharedItems containsSemiMixedTypes="0" containsString="0" containsNumber="1" containsInteger="1">
        <n v="1.0"/>
      </sharedItems>
    </cacheField>
    <cacheField name="Appt. Count" numFmtId="0">
      <sharedItems containsSemiMixedTypes="0" containsString="0" containsNumber="1" containsInteger="1">
        <n v="0.0"/>
        <n v="1.0"/>
      </sharedItems>
    </cacheField>
    <cacheField name="Sales Count" numFmtId="0">
      <sharedItems containsSemiMixedTypes="0" containsString="0" containsNumber="1" containsInteger="1">
        <n v="0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66" sheet="Data"/>
  </cacheSource>
  <cacheFields>
    <cacheField name="Date" numFmtId="167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Customer Name" numFmtId="0">
      <sharedItems>
        <s v="Sarah Johnson"/>
        <s v="Mark Thompson"/>
        <s v="Emily Davis"/>
        <s v="Michael Brown"/>
        <s v="Jessica Wilson"/>
        <s v="David Martinez"/>
        <s v="Jennifer Anderson"/>
        <s v="Christopher Thomas"/>
        <s v="Amanda Garcia"/>
        <s v="Daniel Robinson"/>
        <s v="Elizabeth Clark"/>
        <s v="James Lewis"/>
        <s v="Ashley Walker"/>
        <s v="Matthew Hall"/>
        <s v="Patricia Allen"/>
        <s v="Joshua Young"/>
        <s v="Linda King"/>
        <s v="Joseph Wright"/>
        <s v="Barbara Scott"/>
        <s v="Andrew Green"/>
        <s v="Susan Adams"/>
        <s v="Ryan Baker"/>
        <s v="Margaret Gonzalez"/>
        <s v="William Nelson"/>
        <s v="Jessica Carter"/>
        <s v="Thomas Mitchell"/>
        <s v="Nancy Perez"/>
        <s v="Charles Roberts"/>
        <s v="Karen Turner"/>
        <s v="Christopher Phillips"/>
        <s v="Paul Edwards"/>
        <s v="Sandra Collins"/>
        <s v="George Stewart"/>
        <s v="Donna Sanchez"/>
        <s v="Kenneth Morris"/>
        <s v="Carol Rogers"/>
        <s v="Steven Reed"/>
        <s v="Helen Cook"/>
        <s v="Edward Morgan"/>
        <s v="Michelle Bell"/>
        <s v="Brian Murphy"/>
        <s v="Deborah Bailey"/>
        <s v="Anthony Cooper"/>
        <s v="Kimberly Richardson"/>
        <s v="Jason Cox"/>
        <s v="Elizabeth Howard"/>
        <s v="Jeffrey Ward"/>
        <s v="Sharon Torres"/>
        <s v="Frank Peterson"/>
        <s v="Cynthia Gray"/>
        <s v="Scott Ramirez"/>
        <s v="Kathleen James"/>
        <s v="Eric Watson"/>
        <s v="Amy Brooks"/>
        <s v="Stephen Kelly"/>
        <s v="Angela Sanders"/>
        <s v="Larry Price"/>
        <s v="Rebecca Bennett"/>
        <s v="Timothy Wood"/>
        <s v="Virginia Barnes"/>
        <s v="Dennis Ross"/>
        <s v="Pamela Henderson"/>
        <s v="Patrick Coleman"/>
        <s v="Christine Jenkins"/>
        <s v="Tyler Perry"/>
        <s v="Brenda Powell"/>
        <s v="Gregory Long"/>
        <s v="Nicole Patterson"/>
      </sharedItems>
    </cacheField>
    <cacheField name="Lead Cost" numFmtId="0">
      <sharedItems containsSemiMixedTypes="0" containsString="0" containsNumber="1">
        <n v="121.45"/>
        <n v="89.99"/>
        <n v="154.3"/>
        <n v="110.75"/>
        <n v="78.6"/>
        <n v="135.2"/>
        <n v="96.45"/>
        <n v="142.8"/>
        <n v="105.9"/>
        <n v="82.15"/>
        <n v="160.55"/>
        <n v="92.3"/>
        <n v="128.7"/>
        <n v="114.65"/>
        <n v="85.25"/>
        <n v="139.4"/>
        <n v="101.85"/>
        <n v="98.75"/>
        <n v="150.2"/>
        <n v="108.6"/>
        <n v="132.9"/>
        <n v="124.15"/>
        <n v="94.55"/>
        <n v="118.35"/>
        <n v="104.8"/>
        <n v="146.5"/>
        <n v="80.45"/>
        <n v="112.25"/>
        <n v="158.9"/>
        <n v="107.65"/>
        <n v="129.55"/>
        <n v="148.15"/>
        <n v="93.4"/>
        <n v="116.9"/>
        <n v="131.05"/>
        <n v="103.75"/>
        <n v="141.3"/>
        <n v="84.8"/>
        <n v="119.25"/>
        <n v="153.65"/>
        <n v="109.4"/>
        <n v="127.55"/>
        <n v="95.2"/>
        <n v="143.95"/>
        <n v="106.5"/>
        <n v="133.75"/>
        <n v="115.1"/>
        <n v="91.6"/>
        <n v="157.3"/>
        <n v="123.85"/>
        <n v="102.15"/>
        <n v="145.5"/>
        <n v="97.35"/>
        <n v="130.9"/>
        <n v="111.45"/>
        <n v="87.2"/>
        <n v="151.75"/>
        <n v="108.1"/>
        <n v="122.55"/>
        <n v="149.3"/>
        <n v="117.85"/>
        <n v="92.6"/>
        <n v="138.25"/>
        <n v="104.15"/>
        <n v="126.9"/>
        <n v="155.45"/>
        <n v="89.7"/>
        <n v="134.55"/>
      </sharedItems>
    </cacheField>
    <cacheField name="Appointment" numFmtId="0">
      <sharedItems>
        <s v="no"/>
        <s v="yes"/>
      </sharedItems>
    </cacheField>
    <cacheField name="Sales Revenue ($)" numFmtId="0">
      <sharedItems containsSemiMixedTypes="0" containsString="0" containsNumber="1" containsInteger="1">
        <n v="0.0"/>
        <n v="8500.0"/>
        <n v="12500.0"/>
        <n v="9800.0"/>
        <n v="15200.0"/>
        <n v="7600.0"/>
        <n v="10300.0"/>
        <n v="14500.0"/>
        <n v="8200.0"/>
        <n v="11900.0"/>
        <n v="16800.0"/>
        <n v="9500.0"/>
        <n v="15000.0"/>
        <n v="11400.0"/>
        <n v="9600.0"/>
        <n v="12300.0"/>
        <n v="11000.0"/>
        <n v="8900.0"/>
        <n v="16200.0"/>
        <n v="9100.0"/>
        <n v="13700.0"/>
        <n v="10800.0"/>
        <n v="15600.0"/>
        <n v="11200.0"/>
        <n v="9400.0"/>
        <n v="14100.0"/>
        <n v="8700.0"/>
        <n v="12900.0"/>
        <n v="16500.0"/>
        <n v="10200.0"/>
        <n v="15300.0"/>
        <n v="11800.0"/>
      </sharedItems>
    </cacheField>
    <cacheField name="Lead Source" numFmtId="0">
      <sharedItems>
        <s v="Google Ads"/>
        <s v="Facebook Ads"/>
        <s v="Bing"/>
        <s v="Network"/>
        <s v="Newspaper"/>
      </sharedItems>
    </cacheField>
    <cacheField name="Leads" numFmtId="0">
      <sharedItems containsSemiMixedTypes="0" containsString="0" containsNumber="1" containsInteger="1">
        <n v="1.0"/>
      </sharedItems>
    </cacheField>
    <cacheField name="Appt. Count" numFmtId="0">
      <sharedItems containsSemiMixedTypes="0" containsString="0" containsNumber="1" containsInteger="1">
        <n v="0.0"/>
        <n v="1.0"/>
      </sharedItems>
    </cacheField>
    <cacheField name="Sales Count" numFmtId="0">
      <sharedItems containsSemiMixedTypes="0" containsString="0" containsNumber="1" containsInteger="1">
        <n v="0.0"/>
        <n v="1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66" sheet="Data"/>
  </cacheSource>
  <cacheFields>
    <cacheField name="Date" numFmtId="167">
      <sharedItems containsSemiMixedTypes="0" containsNonDate="0" containsDate="1" containsString="0" minDate="2025-01-01T00:00:00Z" maxDate="2026-01-01T00:00:00Z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  <fieldGroup base="0">
        <rangePr autoStart="0" autoEnd="0" groupBy="months" startDate="2025-01-01T00:00:00Z" endDate="2026-01-01T00:00:00Z"/>
        <groupItems>
          <s v="&lt;01/0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  <cacheField name="Customer Name" numFmtId="0">
      <sharedItems>
        <s v="Sarah Johnson"/>
        <s v="Mark Thompson"/>
        <s v="Emily Davis"/>
        <s v="Michael Brown"/>
        <s v="Jessica Wilson"/>
        <s v="David Martinez"/>
        <s v="Jennifer Anderson"/>
        <s v="Christopher Thomas"/>
        <s v="Amanda Garcia"/>
        <s v="Daniel Robinson"/>
        <s v="Elizabeth Clark"/>
        <s v="James Lewis"/>
        <s v="Ashley Walker"/>
        <s v="Matthew Hall"/>
        <s v="Patricia Allen"/>
        <s v="Joshua Young"/>
        <s v="Linda King"/>
        <s v="Joseph Wright"/>
        <s v="Barbara Scott"/>
        <s v="Andrew Green"/>
        <s v="Susan Adams"/>
        <s v="Ryan Baker"/>
        <s v="Margaret Gonzalez"/>
        <s v="William Nelson"/>
        <s v="Jessica Carter"/>
        <s v="Thomas Mitchell"/>
        <s v="Nancy Perez"/>
        <s v="Charles Roberts"/>
        <s v="Karen Turner"/>
        <s v="Christopher Phillips"/>
        <s v="Paul Edwards"/>
        <s v="Sandra Collins"/>
        <s v="George Stewart"/>
        <s v="Donna Sanchez"/>
        <s v="Kenneth Morris"/>
        <s v="Carol Rogers"/>
        <s v="Steven Reed"/>
        <s v="Helen Cook"/>
        <s v="Edward Morgan"/>
        <s v="Michelle Bell"/>
        <s v="Brian Murphy"/>
        <s v="Deborah Bailey"/>
        <s v="Anthony Cooper"/>
        <s v="Kimberly Richardson"/>
        <s v="Jason Cox"/>
        <s v="Elizabeth Howard"/>
        <s v="Jeffrey Ward"/>
        <s v="Sharon Torres"/>
        <s v="Frank Peterson"/>
        <s v="Cynthia Gray"/>
        <s v="Scott Ramirez"/>
        <s v="Kathleen James"/>
        <s v="Eric Watson"/>
        <s v="Amy Brooks"/>
        <s v="Stephen Kelly"/>
        <s v="Angela Sanders"/>
        <s v="Larry Price"/>
        <s v="Rebecca Bennett"/>
        <s v="Timothy Wood"/>
        <s v="Virginia Barnes"/>
        <s v="Dennis Ross"/>
        <s v="Pamela Henderson"/>
        <s v="Patrick Coleman"/>
        <s v="Christine Jenkins"/>
        <s v="Tyler Perry"/>
        <s v="Brenda Powell"/>
        <s v="Gregory Long"/>
        <s v="Nicole Patterson"/>
      </sharedItems>
    </cacheField>
    <cacheField name="Lead Cost" numFmtId="0">
      <sharedItems containsSemiMixedTypes="0" containsString="0" containsNumber="1">
        <n v="121.45"/>
        <n v="89.99"/>
        <n v="154.3"/>
        <n v="110.75"/>
        <n v="78.6"/>
        <n v="135.2"/>
        <n v="96.45"/>
        <n v="142.8"/>
        <n v="105.9"/>
        <n v="82.15"/>
        <n v="160.55"/>
        <n v="92.3"/>
        <n v="128.7"/>
        <n v="114.65"/>
        <n v="85.25"/>
        <n v="139.4"/>
        <n v="101.85"/>
        <n v="98.75"/>
        <n v="150.2"/>
        <n v="108.6"/>
        <n v="132.9"/>
        <n v="124.15"/>
        <n v="94.55"/>
        <n v="118.35"/>
        <n v="104.8"/>
        <n v="146.5"/>
        <n v="80.45"/>
        <n v="112.25"/>
        <n v="158.9"/>
        <n v="107.65"/>
        <n v="129.55"/>
        <n v="148.15"/>
        <n v="93.4"/>
        <n v="116.9"/>
        <n v="131.05"/>
        <n v="103.75"/>
        <n v="141.3"/>
        <n v="84.8"/>
        <n v="119.25"/>
        <n v="153.65"/>
        <n v="109.4"/>
        <n v="127.55"/>
        <n v="95.2"/>
        <n v="143.95"/>
        <n v="106.5"/>
        <n v="133.75"/>
        <n v="115.1"/>
        <n v="91.6"/>
        <n v="157.3"/>
        <n v="123.85"/>
        <n v="102.15"/>
        <n v="145.5"/>
        <n v="97.35"/>
        <n v="130.9"/>
        <n v="111.45"/>
        <n v="87.2"/>
        <n v="151.75"/>
        <n v="108.1"/>
        <n v="122.55"/>
        <n v="149.3"/>
        <n v="117.85"/>
        <n v="92.6"/>
        <n v="138.25"/>
        <n v="104.15"/>
        <n v="126.9"/>
        <n v="155.45"/>
        <n v="89.7"/>
        <n v="134.55"/>
      </sharedItems>
    </cacheField>
    <cacheField name="Appointment" numFmtId="0">
      <sharedItems>
        <s v="no"/>
        <s v="yes"/>
      </sharedItems>
    </cacheField>
    <cacheField name="Sales Revenue ($)" numFmtId="0">
      <sharedItems containsSemiMixedTypes="0" containsString="0" containsNumber="1" containsInteger="1">
        <n v="0.0"/>
        <n v="8500.0"/>
        <n v="12500.0"/>
        <n v="9800.0"/>
        <n v="15200.0"/>
        <n v="7600.0"/>
        <n v="10300.0"/>
        <n v="14500.0"/>
        <n v="8200.0"/>
        <n v="11900.0"/>
        <n v="16800.0"/>
        <n v="9500.0"/>
        <n v="15000.0"/>
        <n v="11400.0"/>
        <n v="9600.0"/>
        <n v="12300.0"/>
        <n v="11000.0"/>
        <n v="8900.0"/>
        <n v="16200.0"/>
        <n v="9100.0"/>
        <n v="13700.0"/>
        <n v="10800.0"/>
        <n v="15600.0"/>
        <n v="11200.0"/>
        <n v="9400.0"/>
        <n v="14100.0"/>
        <n v="8700.0"/>
        <n v="12900.0"/>
        <n v="16500.0"/>
        <n v="10200.0"/>
        <n v="15300.0"/>
        <n v="11800.0"/>
      </sharedItems>
    </cacheField>
    <cacheField name="Lead Source" numFmtId="0">
      <sharedItems>
        <s v="Google Ads"/>
        <s v="Facebook Ads"/>
        <s v="Bing"/>
        <s v="Network"/>
        <s v="Newspaper"/>
      </sharedItems>
    </cacheField>
    <cacheField name="Leads" numFmtId="0">
      <sharedItems containsSemiMixedTypes="0" containsString="0" containsNumber="1" containsInteger="1">
        <n v="1.0"/>
      </sharedItems>
    </cacheField>
    <cacheField name="Appt. Count" numFmtId="0">
      <sharedItems containsSemiMixedTypes="0" containsString="0" containsNumber="1" containsInteger="1">
        <n v="0.0"/>
        <n v="1.0"/>
      </sharedItems>
    </cacheField>
    <cacheField name="Sales Count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s" cacheId="0" dataCaption="" compact="0" compactData="0">
  <location ref="A1:C14" firstHeaderRow="0" firstDataRow="2" firstDataCol="0"/>
  <pivotFields>
    <pivotField name="Date" axis="axisRow" compact="0" numFmtId="167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Lead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ppointment" compact="0" outline="0" multipleItemSelectionAllowed="1" showAll="0">
      <items>
        <item x="0"/>
        <item x="1"/>
        <item t="default"/>
      </items>
    </pivotField>
    <pivotField name="Sales Revenue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ead 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s" dataField="1" compact="0" outline="0" multipleItemSelectionAllowed="1" showAll="0">
      <items>
        <item x="0"/>
        <item t="default"/>
      </items>
    </pivotField>
    <pivotField name="Appt. Count" dataField="1" compact="0" outline="0" multipleItemSelectionAllowed="1" showAll="0">
      <items>
        <item x="0"/>
        <item x="1"/>
        <item t="default"/>
      </items>
    </pivotField>
    <pivotField name="Sales Count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dataFields>
    <dataField name="SUM of Leads" fld="6" baseField="0"/>
    <dataField name="SUM of Appt. Count" fld="7" baseField="0"/>
  </dataFields>
</pivotTableDefinition>
</file>

<file path=xl/pivotTables/pivotTable2.xml><?xml version="1.0" encoding="utf-8"?>
<pivotTableDefinition xmlns="http://schemas.openxmlformats.org/spreadsheetml/2006/main" name="Pivots 2" cacheId="1" dataCaption="" compact="0" compactData="0">
  <location ref="G1:H7" firstHeaderRow="0" firstDataRow="1" firstDataCol="0"/>
  <pivotFields>
    <pivotField name="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Lead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ppointment" compact="0" outline="0" multipleItemSelectionAllowed="1" showAll="0">
      <items>
        <item x="0"/>
        <item x="1"/>
        <item t="default"/>
      </items>
    </pivotField>
    <pivotField name="Sales Revenue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ead Source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Leads" dataField="1" compact="0" outline="0" multipleItemSelectionAllowed="1" showAll="0">
      <items>
        <item x="0"/>
        <item t="default"/>
      </items>
    </pivotField>
    <pivotField name="Appt. Count" compact="0" outline="0" multipleItemSelectionAllowed="1" showAll="0">
      <items>
        <item x="0"/>
        <item x="1"/>
        <item t="default"/>
      </items>
    </pivotField>
    <pivotField name="Sales Count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Leads" fld="6" baseField="0"/>
  </dataFields>
</pivotTableDefinition>
</file>

<file path=xl/pivotTables/pivotTable3.xml><?xml version="1.0" encoding="utf-8"?>
<pivotTableDefinition xmlns="http://schemas.openxmlformats.org/spreadsheetml/2006/main" name="Pivots 3" cacheId="1" dataCaption="" compact="0" compactData="0">
  <location ref="A19:B25" firstHeaderRow="0" firstDataRow="1" firstDataCol="0"/>
  <pivotFields>
    <pivotField name="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Lead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ppointment" compact="0" outline="0" multipleItemSelectionAllowed="1" showAll="0">
      <items>
        <item x="0"/>
        <item x="1"/>
        <item t="default"/>
      </items>
    </pivotField>
    <pivotField name="Sales Revenue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ead Source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Leads" compact="0" outline="0" multipleItemSelectionAllowed="1" showAll="0">
      <items>
        <item x="0"/>
        <item t="default"/>
      </items>
    </pivotField>
    <pivotField name="Appt. Count" compact="0" outline="0" multipleItemSelectionAllowed="1" showAll="0">
      <items>
        <item x="0"/>
        <item x="1"/>
        <item t="default"/>
      </items>
    </pivotField>
    <pivotField name="Sales Count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Sales Revenue ($)" fld="4" baseField="0"/>
  </dataFields>
</pivotTableDefinition>
</file>

<file path=xl/pivotTables/pivotTable4.xml><?xml version="1.0" encoding="utf-8"?>
<pivotTableDefinition xmlns="http://schemas.openxmlformats.org/spreadsheetml/2006/main" name="Pivots 4" cacheId="2" dataCaption="" compact="0" compactData="0">
  <location ref="A28:B41" firstHeaderRow="0" firstDataRow="1" firstDataCol="0"/>
  <pivotFields>
    <pivotField name="Date" axis="axisRow" compact="0" numFmtId="167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Lead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ppointment" compact="0" outline="0" multipleItemSelectionAllowed="1" showAll="0">
      <items>
        <item x="0"/>
        <item x="1"/>
        <item t="default"/>
      </items>
    </pivotField>
    <pivotField name="Sales Revenue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ead 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s" compact="0" outline="0" multipleItemSelectionAllowed="1" showAll="0">
      <items>
        <item x="0"/>
        <item t="default"/>
      </items>
    </pivotField>
    <pivotField name="Appt. Count" compact="0" outline="0" multipleItemSelectionAllowed="1" showAll="0">
      <items>
        <item x="0"/>
        <item x="1"/>
        <item t="default"/>
      </items>
    </pivotField>
    <pivotField name="Sales Count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ales Revenue ($)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23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</row>
    <row r="7">
      <c r="A7" s="2"/>
      <c r="B7" s="4" t="s">
        <v>0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</row>
    <row r="8">
      <c r="A8" s="2"/>
      <c r="J8" s="2"/>
      <c r="K8" s="3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3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3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3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</row>
    <row r="9">
      <c r="A9" s="2"/>
      <c r="B9" s="10" t="s">
        <v>1</v>
      </c>
      <c r="E9" s="11"/>
      <c r="F9" s="12">
        <f>vlookup(B7,Settings!A4:B14,2,FALSE)</f>
        <v>45658</v>
      </c>
      <c r="J9" s="2"/>
      <c r="K9" s="3"/>
      <c r="L9" s="13"/>
      <c r="M9" s="14">
        <f>SUMIFS(Data!E:E,Data!A:A,"&gt;="&amp;F9,Data!A:A,"&lt;="&amp;F10)</f>
        <v>1238500</v>
      </c>
      <c r="V9" s="13"/>
      <c r="W9" s="13"/>
      <c r="X9" s="3"/>
      <c r="Y9" s="7"/>
      <c r="Z9" s="15">
        <f>SUMIFS(Data!G:G, Data!A:A, "&gt;="&amp;F9, Data!A:A, "&lt;="&amp;F10)</f>
        <v>296</v>
      </c>
      <c r="AI9" s="7"/>
      <c r="AJ9" s="7"/>
      <c r="AK9" s="3"/>
      <c r="AL9" s="8"/>
      <c r="AM9" s="16">
        <f>SUMIFS(Data!H:H, Data!A:A, "&gt;="&amp;F9, Data!A:A, "&lt;="&amp;F10)</f>
        <v>148</v>
      </c>
      <c r="AV9" s="8"/>
      <c r="AW9" s="8"/>
      <c r="AX9" s="3"/>
      <c r="AY9" s="9"/>
      <c r="AZ9" s="17">
        <f>SUMIFS(Data!C:C, Data!A:A, "&gt;="&amp;F9, Data!A:A, "&lt;="&amp;F10)</f>
        <v>34324.15</v>
      </c>
      <c r="BI9" s="9"/>
      <c r="BJ9" s="9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</row>
    <row r="10">
      <c r="A10" s="2"/>
      <c r="B10" s="10" t="s">
        <v>2</v>
      </c>
      <c r="E10" s="11"/>
      <c r="F10" s="18">
        <f>VLOOKUP(B7,Settings!A4:C14,3,FALSE)</f>
        <v>45953</v>
      </c>
      <c r="J10" s="2"/>
      <c r="K10" s="3"/>
      <c r="L10" s="19"/>
      <c r="V10" s="13"/>
      <c r="W10" s="13"/>
      <c r="X10" s="3"/>
      <c r="Y10" s="7"/>
      <c r="AI10" s="7"/>
      <c r="AJ10" s="7"/>
      <c r="AK10" s="3"/>
      <c r="AL10" s="8"/>
      <c r="AV10" s="8"/>
      <c r="AW10" s="8"/>
      <c r="AX10" s="3"/>
      <c r="AY10" s="9"/>
      <c r="BI10" s="9"/>
      <c r="BJ10" s="9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13"/>
      <c r="M11" s="20" t="s">
        <v>3</v>
      </c>
      <c r="V11" s="13"/>
      <c r="W11" s="13"/>
      <c r="X11" s="3"/>
      <c r="Y11" s="7"/>
      <c r="Z11" s="21" t="s">
        <v>4</v>
      </c>
      <c r="AI11" s="7"/>
      <c r="AJ11" s="7"/>
      <c r="AK11" s="3"/>
      <c r="AL11" s="8"/>
      <c r="AM11" s="22" t="s">
        <v>3</v>
      </c>
      <c r="AV11" s="8"/>
      <c r="AW11" s="8"/>
      <c r="AX11" s="3"/>
      <c r="AY11" s="9"/>
      <c r="AZ11" s="23" t="s">
        <v>5</v>
      </c>
      <c r="BI11" s="9"/>
      <c r="BJ11" s="9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4"/>
      <c r="M12" s="24"/>
      <c r="N12" s="24"/>
      <c r="O12" s="24"/>
      <c r="P12" s="25"/>
      <c r="Q12" s="6"/>
      <c r="R12" s="6"/>
      <c r="S12" s="6"/>
      <c r="T12" s="6"/>
      <c r="U12" s="6"/>
      <c r="V12" s="6"/>
      <c r="W12" s="6"/>
      <c r="X12" s="3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3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</row>
    <row r="13">
      <c r="A13" s="2"/>
      <c r="B13" s="4" t="s">
        <v>6</v>
      </c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6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</row>
    <row r="14">
      <c r="A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</row>
    <row r="15">
      <c r="A15" s="2"/>
      <c r="B15" s="27" t="s">
        <v>7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</row>
    <row r="16">
      <c r="A16" s="2"/>
      <c r="B16" s="27" t="s">
        <v>8</v>
      </c>
      <c r="J16" s="2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3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</row>
    <row r="17">
      <c r="A17" s="2"/>
      <c r="B17" s="27" t="s">
        <v>9</v>
      </c>
      <c r="J17" s="2"/>
      <c r="K17" s="3"/>
      <c r="L17" s="1"/>
      <c r="M17" s="28" t="s">
        <v>10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3"/>
      <c r="AS17" s="1"/>
      <c r="AT17" s="28" t="s">
        <v>11</v>
      </c>
      <c r="BC17" s="1"/>
      <c r="BD17" s="1"/>
      <c r="BE17" s="1"/>
      <c r="BF17" s="1"/>
      <c r="BG17" s="1"/>
      <c r="BH17" s="1"/>
      <c r="BI17" s="1"/>
      <c r="BJ17" s="1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1"/>
      <c r="M18" s="28"/>
      <c r="N18" s="28"/>
      <c r="O18" s="28"/>
      <c r="P18" s="28"/>
      <c r="Q18" s="28"/>
      <c r="R18" s="28"/>
      <c r="S18" s="28"/>
      <c r="T18" s="28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3"/>
      <c r="AS18" s="1"/>
      <c r="AT18" s="28"/>
      <c r="AU18" s="28"/>
      <c r="AV18" s="28"/>
      <c r="AW18" s="28"/>
      <c r="AX18" s="28"/>
      <c r="AY18" s="28"/>
      <c r="AZ18" s="28"/>
      <c r="BA18" s="28"/>
      <c r="BB18" s="1"/>
      <c r="BC18" s="1"/>
      <c r="BD18" s="1"/>
      <c r="BE18" s="1"/>
      <c r="BF18" s="1"/>
      <c r="BG18" s="1"/>
      <c r="BH18" s="1"/>
      <c r="BI18" s="1"/>
      <c r="BJ18" s="1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</row>
    <row r="19" ht="2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3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3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3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3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3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3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3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3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3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3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3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3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3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3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3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1"/>
      <c r="M36" s="28" t="s">
        <v>12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3"/>
      <c r="AL36" s="1"/>
      <c r="AM36" s="28" t="s">
        <v>13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3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</row>
    <row r="38" ht="2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3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3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3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3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3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3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3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3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3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3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3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3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3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  <c r="DI315" s="31"/>
      <c r="DJ315" s="31"/>
      <c r="DK315" s="31"/>
      <c r="DL315" s="31"/>
      <c r="DM315" s="31"/>
      <c r="DN315" s="31"/>
      <c r="DO315" s="31"/>
      <c r="DP315" s="31"/>
      <c r="DQ315" s="31"/>
      <c r="DR315" s="31"/>
      <c r="DS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  <c r="DI325" s="31"/>
      <c r="DJ325" s="31"/>
      <c r="DK325" s="31"/>
      <c r="DL325" s="31"/>
      <c r="DM325" s="31"/>
      <c r="DN325" s="31"/>
      <c r="DO325" s="31"/>
      <c r="DP325" s="31"/>
      <c r="DQ325" s="31"/>
      <c r="DR325" s="31"/>
      <c r="DS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  <c r="DI335" s="31"/>
      <c r="DJ335" s="31"/>
      <c r="DK335" s="31"/>
      <c r="DL335" s="31"/>
      <c r="DM335" s="31"/>
      <c r="DN335" s="31"/>
      <c r="DO335" s="31"/>
      <c r="DP335" s="31"/>
      <c r="DQ335" s="31"/>
      <c r="DR335" s="31"/>
      <c r="DS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  <c r="DI339" s="31"/>
      <c r="DJ339" s="31"/>
      <c r="DK339" s="31"/>
      <c r="DL339" s="31"/>
      <c r="DM339" s="31"/>
      <c r="DN339" s="31"/>
      <c r="DO339" s="31"/>
      <c r="DP339" s="31"/>
      <c r="DQ339" s="31"/>
      <c r="DR339" s="31"/>
      <c r="DS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  <c r="DI355" s="31"/>
      <c r="DJ355" s="31"/>
      <c r="DK355" s="31"/>
      <c r="DL355" s="31"/>
      <c r="DM355" s="31"/>
      <c r="DN355" s="31"/>
      <c r="DO355" s="31"/>
      <c r="DP355" s="31"/>
      <c r="DQ355" s="31"/>
      <c r="DR355" s="31"/>
      <c r="DS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  <c r="DI368" s="31"/>
      <c r="DJ368" s="31"/>
      <c r="DK368" s="31"/>
      <c r="DL368" s="31"/>
      <c r="DM368" s="31"/>
      <c r="DN368" s="31"/>
      <c r="DO368" s="31"/>
      <c r="DP368" s="31"/>
      <c r="DQ368" s="31"/>
      <c r="DR368" s="31"/>
      <c r="DS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  <c r="DI370" s="31"/>
      <c r="DJ370" s="31"/>
      <c r="DK370" s="31"/>
      <c r="DL370" s="31"/>
      <c r="DM370" s="31"/>
      <c r="DN370" s="31"/>
      <c r="DO370" s="31"/>
      <c r="DP370" s="31"/>
      <c r="DQ370" s="31"/>
      <c r="DR370" s="31"/>
      <c r="DS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  <c r="DI397" s="31"/>
      <c r="DJ397" s="31"/>
      <c r="DK397" s="31"/>
      <c r="DL397" s="31"/>
      <c r="DM397" s="31"/>
      <c r="DN397" s="31"/>
      <c r="DO397" s="31"/>
      <c r="DP397" s="31"/>
      <c r="DQ397" s="31"/>
      <c r="DR397" s="31"/>
      <c r="DS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  <c r="DI400" s="31"/>
      <c r="DJ400" s="31"/>
      <c r="DK400" s="31"/>
      <c r="DL400" s="31"/>
      <c r="DM400" s="31"/>
      <c r="DN400" s="31"/>
      <c r="DO400" s="31"/>
      <c r="DP400" s="31"/>
      <c r="DQ400" s="31"/>
      <c r="DR400" s="31"/>
      <c r="DS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1"/>
      <c r="DP406" s="31"/>
      <c r="DQ406" s="31"/>
      <c r="DR406" s="31"/>
      <c r="DS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  <c r="DI407" s="31"/>
      <c r="DJ407" s="31"/>
      <c r="DK407" s="31"/>
      <c r="DL407" s="31"/>
      <c r="DM407" s="31"/>
      <c r="DN407" s="31"/>
      <c r="DO407" s="31"/>
      <c r="DP407" s="31"/>
      <c r="DQ407" s="31"/>
      <c r="DR407" s="31"/>
      <c r="DS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  <c r="DI408" s="31"/>
      <c r="DJ408" s="31"/>
      <c r="DK408" s="31"/>
      <c r="DL408" s="31"/>
      <c r="DM408" s="31"/>
      <c r="DN408" s="31"/>
      <c r="DO408" s="31"/>
      <c r="DP408" s="31"/>
      <c r="DQ408" s="31"/>
      <c r="DR408" s="31"/>
      <c r="DS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1"/>
      <c r="DQ409" s="31"/>
      <c r="DR409" s="31"/>
      <c r="DS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  <c r="DI412" s="31"/>
      <c r="DJ412" s="31"/>
      <c r="DK412" s="31"/>
      <c r="DL412" s="31"/>
      <c r="DM412" s="31"/>
      <c r="DN412" s="31"/>
      <c r="DO412" s="31"/>
      <c r="DP412" s="31"/>
      <c r="DQ412" s="31"/>
      <c r="DR412" s="31"/>
      <c r="DS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  <c r="DI418" s="31"/>
      <c r="DJ418" s="31"/>
      <c r="DK418" s="31"/>
      <c r="DL418" s="31"/>
      <c r="DM418" s="31"/>
      <c r="DN418" s="31"/>
      <c r="DO418" s="31"/>
      <c r="DP418" s="31"/>
      <c r="DQ418" s="31"/>
      <c r="DR418" s="31"/>
      <c r="DS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1"/>
      <c r="DS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  <c r="DI443" s="31"/>
      <c r="DJ443" s="31"/>
      <c r="DK443" s="31"/>
      <c r="DL443" s="31"/>
      <c r="DM443" s="31"/>
      <c r="DN443" s="31"/>
      <c r="DO443" s="31"/>
      <c r="DP443" s="31"/>
      <c r="DQ443" s="31"/>
      <c r="DR443" s="31"/>
      <c r="DS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  <c r="DI445" s="31"/>
      <c r="DJ445" s="31"/>
      <c r="DK445" s="31"/>
      <c r="DL445" s="31"/>
      <c r="DM445" s="31"/>
      <c r="DN445" s="31"/>
      <c r="DO445" s="31"/>
      <c r="DP445" s="31"/>
      <c r="DQ445" s="31"/>
      <c r="DR445" s="31"/>
      <c r="DS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  <c r="DI447" s="31"/>
      <c r="DJ447" s="31"/>
      <c r="DK447" s="31"/>
      <c r="DL447" s="31"/>
      <c r="DM447" s="31"/>
      <c r="DN447" s="31"/>
      <c r="DO447" s="31"/>
      <c r="DP447" s="31"/>
      <c r="DQ447" s="31"/>
      <c r="DR447" s="31"/>
      <c r="DS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  <c r="DI449" s="31"/>
      <c r="DJ449" s="31"/>
      <c r="DK449" s="31"/>
      <c r="DL449" s="31"/>
      <c r="DM449" s="31"/>
      <c r="DN449" s="31"/>
      <c r="DO449" s="31"/>
      <c r="DP449" s="31"/>
      <c r="DQ449" s="31"/>
      <c r="DR449" s="31"/>
      <c r="DS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1"/>
      <c r="DD450" s="31"/>
      <c r="DE450" s="31"/>
      <c r="DF450" s="31"/>
      <c r="DG450" s="31"/>
      <c r="DH450" s="31"/>
      <c r="DI450" s="31"/>
      <c r="DJ450" s="31"/>
      <c r="DK450" s="31"/>
      <c r="DL450" s="31"/>
      <c r="DM450" s="31"/>
      <c r="DN450" s="31"/>
      <c r="DO450" s="31"/>
      <c r="DP450" s="31"/>
      <c r="DQ450" s="31"/>
      <c r="DR450" s="31"/>
      <c r="DS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  <c r="DI451" s="31"/>
      <c r="DJ451" s="31"/>
      <c r="DK451" s="31"/>
      <c r="DL451" s="31"/>
      <c r="DM451" s="31"/>
      <c r="DN451" s="31"/>
      <c r="DO451" s="31"/>
      <c r="DP451" s="31"/>
      <c r="DQ451" s="31"/>
      <c r="DR451" s="31"/>
      <c r="DS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1"/>
      <c r="DD452" s="31"/>
      <c r="DE452" s="31"/>
      <c r="DF452" s="31"/>
      <c r="DG452" s="31"/>
      <c r="DH452" s="31"/>
      <c r="DI452" s="31"/>
      <c r="DJ452" s="31"/>
      <c r="DK452" s="31"/>
      <c r="DL452" s="31"/>
      <c r="DM452" s="31"/>
      <c r="DN452" s="31"/>
      <c r="DO452" s="31"/>
      <c r="DP452" s="31"/>
      <c r="DQ452" s="31"/>
      <c r="DR452" s="31"/>
      <c r="DS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1"/>
      <c r="DD453" s="31"/>
      <c r="DE453" s="31"/>
      <c r="DF453" s="31"/>
      <c r="DG453" s="31"/>
      <c r="DH453" s="31"/>
      <c r="DI453" s="31"/>
      <c r="DJ453" s="31"/>
      <c r="DK453" s="31"/>
      <c r="DL453" s="31"/>
      <c r="DM453" s="31"/>
      <c r="DN453" s="31"/>
      <c r="DO453" s="31"/>
      <c r="DP453" s="31"/>
      <c r="DQ453" s="31"/>
      <c r="DR453" s="31"/>
      <c r="DS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  <c r="DI454" s="31"/>
      <c r="DJ454" s="31"/>
      <c r="DK454" s="31"/>
      <c r="DL454" s="31"/>
      <c r="DM454" s="31"/>
      <c r="DN454" s="31"/>
      <c r="DO454" s="31"/>
      <c r="DP454" s="31"/>
      <c r="DQ454" s="31"/>
      <c r="DR454" s="31"/>
      <c r="DS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1"/>
      <c r="DD455" s="31"/>
      <c r="DE455" s="31"/>
      <c r="DF455" s="31"/>
      <c r="DG455" s="31"/>
      <c r="DH455" s="31"/>
      <c r="DI455" s="31"/>
      <c r="DJ455" s="31"/>
      <c r="DK455" s="31"/>
      <c r="DL455" s="31"/>
      <c r="DM455" s="31"/>
      <c r="DN455" s="31"/>
      <c r="DO455" s="31"/>
      <c r="DP455" s="31"/>
      <c r="DQ455" s="31"/>
      <c r="DR455" s="31"/>
      <c r="DS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1"/>
      <c r="DD456" s="31"/>
      <c r="DE456" s="31"/>
      <c r="DF456" s="31"/>
      <c r="DG456" s="31"/>
      <c r="DH456" s="31"/>
      <c r="DI456" s="31"/>
      <c r="DJ456" s="31"/>
      <c r="DK456" s="31"/>
      <c r="DL456" s="31"/>
      <c r="DM456" s="31"/>
      <c r="DN456" s="31"/>
      <c r="DO456" s="31"/>
      <c r="DP456" s="31"/>
      <c r="DQ456" s="31"/>
      <c r="DR456" s="31"/>
      <c r="DS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  <c r="DI457" s="31"/>
      <c r="DJ457" s="31"/>
      <c r="DK457" s="31"/>
      <c r="DL457" s="31"/>
      <c r="DM457" s="31"/>
      <c r="DN457" s="31"/>
      <c r="DO457" s="31"/>
      <c r="DP457" s="31"/>
      <c r="DQ457" s="31"/>
      <c r="DR457" s="31"/>
      <c r="DS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  <c r="DI458" s="31"/>
      <c r="DJ458" s="31"/>
      <c r="DK458" s="31"/>
      <c r="DL458" s="31"/>
      <c r="DM458" s="31"/>
      <c r="DN458" s="31"/>
      <c r="DO458" s="31"/>
      <c r="DP458" s="31"/>
      <c r="DQ458" s="31"/>
      <c r="DR458" s="31"/>
      <c r="DS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  <c r="DI459" s="31"/>
      <c r="DJ459" s="31"/>
      <c r="DK459" s="31"/>
      <c r="DL459" s="31"/>
      <c r="DM459" s="31"/>
      <c r="DN459" s="31"/>
      <c r="DO459" s="31"/>
      <c r="DP459" s="31"/>
      <c r="DQ459" s="31"/>
      <c r="DR459" s="31"/>
      <c r="DS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1"/>
      <c r="DD460" s="31"/>
      <c r="DE460" s="31"/>
      <c r="DF460" s="31"/>
      <c r="DG460" s="31"/>
      <c r="DH460" s="31"/>
      <c r="DI460" s="31"/>
      <c r="DJ460" s="31"/>
      <c r="DK460" s="31"/>
      <c r="DL460" s="31"/>
      <c r="DM460" s="31"/>
      <c r="DN460" s="31"/>
      <c r="DO460" s="31"/>
      <c r="DP460" s="31"/>
      <c r="DQ460" s="31"/>
      <c r="DR460" s="31"/>
      <c r="DS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  <c r="DI461" s="31"/>
      <c r="DJ461" s="31"/>
      <c r="DK461" s="31"/>
      <c r="DL461" s="31"/>
      <c r="DM461" s="31"/>
      <c r="DN461" s="31"/>
      <c r="DO461" s="31"/>
      <c r="DP461" s="31"/>
      <c r="DQ461" s="31"/>
      <c r="DR461" s="31"/>
      <c r="DS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1"/>
      <c r="DD462" s="31"/>
      <c r="DE462" s="31"/>
      <c r="DF462" s="31"/>
      <c r="DG462" s="31"/>
      <c r="DH462" s="31"/>
      <c r="DI462" s="31"/>
      <c r="DJ462" s="31"/>
      <c r="DK462" s="31"/>
      <c r="DL462" s="31"/>
      <c r="DM462" s="31"/>
      <c r="DN462" s="31"/>
      <c r="DO462" s="31"/>
      <c r="DP462" s="31"/>
      <c r="DQ462" s="31"/>
      <c r="DR462" s="31"/>
      <c r="DS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1"/>
      <c r="DD463" s="31"/>
      <c r="DE463" s="31"/>
      <c r="DF463" s="31"/>
      <c r="DG463" s="31"/>
      <c r="DH463" s="31"/>
      <c r="DI463" s="31"/>
      <c r="DJ463" s="31"/>
      <c r="DK463" s="31"/>
      <c r="DL463" s="31"/>
      <c r="DM463" s="31"/>
      <c r="DN463" s="31"/>
      <c r="DO463" s="31"/>
      <c r="DP463" s="31"/>
      <c r="DQ463" s="31"/>
      <c r="DR463" s="31"/>
      <c r="DS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  <c r="DI464" s="31"/>
      <c r="DJ464" s="31"/>
      <c r="DK464" s="31"/>
      <c r="DL464" s="31"/>
      <c r="DM464" s="31"/>
      <c r="DN464" s="31"/>
      <c r="DO464" s="31"/>
      <c r="DP464" s="31"/>
      <c r="DQ464" s="31"/>
      <c r="DR464" s="31"/>
      <c r="DS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  <c r="DI465" s="31"/>
      <c r="DJ465" s="31"/>
      <c r="DK465" s="31"/>
      <c r="DL465" s="31"/>
      <c r="DM465" s="31"/>
      <c r="DN465" s="31"/>
      <c r="DO465" s="31"/>
      <c r="DP465" s="31"/>
      <c r="DQ465" s="31"/>
      <c r="DR465" s="31"/>
      <c r="DS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1"/>
      <c r="DD466" s="31"/>
      <c r="DE466" s="31"/>
      <c r="DF466" s="31"/>
      <c r="DG466" s="31"/>
      <c r="DH466" s="31"/>
      <c r="DI466" s="31"/>
      <c r="DJ466" s="31"/>
      <c r="DK466" s="31"/>
      <c r="DL466" s="31"/>
      <c r="DM466" s="31"/>
      <c r="DN466" s="31"/>
      <c r="DO466" s="31"/>
      <c r="DP466" s="31"/>
      <c r="DQ466" s="31"/>
      <c r="DR466" s="31"/>
      <c r="DS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1"/>
      <c r="DN467" s="31"/>
      <c r="DO467" s="31"/>
      <c r="DP467" s="31"/>
      <c r="DQ467" s="31"/>
      <c r="DR467" s="31"/>
      <c r="DS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  <c r="DI469" s="31"/>
      <c r="DJ469" s="31"/>
      <c r="DK469" s="31"/>
      <c r="DL469" s="31"/>
      <c r="DM469" s="31"/>
      <c r="DN469" s="31"/>
      <c r="DO469" s="31"/>
      <c r="DP469" s="31"/>
      <c r="DQ469" s="31"/>
      <c r="DR469" s="31"/>
      <c r="DS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1"/>
      <c r="DD470" s="31"/>
      <c r="DE470" s="31"/>
      <c r="DF470" s="31"/>
      <c r="DG470" s="31"/>
      <c r="DH470" s="31"/>
      <c r="DI470" s="31"/>
      <c r="DJ470" s="31"/>
      <c r="DK470" s="31"/>
      <c r="DL470" s="31"/>
      <c r="DM470" s="31"/>
      <c r="DN470" s="31"/>
      <c r="DO470" s="31"/>
      <c r="DP470" s="31"/>
      <c r="DQ470" s="31"/>
      <c r="DR470" s="31"/>
      <c r="DS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  <c r="DI471" s="31"/>
      <c r="DJ471" s="31"/>
      <c r="DK471" s="31"/>
      <c r="DL471" s="31"/>
      <c r="DM471" s="31"/>
      <c r="DN471" s="31"/>
      <c r="DO471" s="31"/>
      <c r="DP471" s="31"/>
      <c r="DQ471" s="31"/>
      <c r="DR471" s="31"/>
      <c r="DS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  <c r="DI472" s="31"/>
      <c r="DJ472" s="31"/>
      <c r="DK472" s="31"/>
      <c r="DL472" s="31"/>
      <c r="DM472" s="31"/>
      <c r="DN472" s="31"/>
      <c r="DO472" s="31"/>
      <c r="DP472" s="31"/>
      <c r="DQ472" s="31"/>
      <c r="DR472" s="31"/>
      <c r="DS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  <c r="DI473" s="31"/>
      <c r="DJ473" s="31"/>
      <c r="DK473" s="31"/>
      <c r="DL473" s="31"/>
      <c r="DM473" s="31"/>
      <c r="DN473" s="31"/>
      <c r="DO473" s="31"/>
      <c r="DP473" s="31"/>
      <c r="DQ473" s="31"/>
      <c r="DR473" s="31"/>
      <c r="DS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1"/>
      <c r="DD474" s="31"/>
      <c r="DE474" s="31"/>
      <c r="DF474" s="31"/>
      <c r="DG474" s="31"/>
      <c r="DH474" s="31"/>
      <c r="DI474" s="31"/>
      <c r="DJ474" s="31"/>
      <c r="DK474" s="31"/>
      <c r="DL474" s="31"/>
      <c r="DM474" s="31"/>
      <c r="DN474" s="31"/>
      <c r="DO474" s="31"/>
      <c r="DP474" s="31"/>
      <c r="DQ474" s="31"/>
      <c r="DR474" s="31"/>
      <c r="DS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  <c r="DI475" s="31"/>
      <c r="DJ475" s="31"/>
      <c r="DK475" s="31"/>
      <c r="DL475" s="31"/>
      <c r="DM475" s="31"/>
      <c r="DN475" s="31"/>
      <c r="DO475" s="31"/>
      <c r="DP475" s="31"/>
      <c r="DQ475" s="31"/>
      <c r="DR475" s="31"/>
      <c r="DS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  <c r="DC476" s="31"/>
      <c r="DD476" s="31"/>
      <c r="DE476" s="31"/>
      <c r="DF476" s="31"/>
      <c r="DG476" s="31"/>
      <c r="DH476" s="31"/>
      <c r="DI476" s="31"/>
      <c r="DJ476" s="31"/>
      <c r="DK476" s="31"/>
      <c r="DL476" s="31"/>
      <c r="DM476" s="31"/>
      <c r="DN476" s="31"/>
      <c r="DO476" s="31"/>
      <c r="DP476" s="31"/>
      <c r="DQ476" s="31"/>
      <c r="DR476" s="31"/>
      <c r="DS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1"/>
      <c r="DD477" s="31"/>
      <c r="DE477" s="31"/>
      <c r="DF477" s="31"/>
      <c r="DG477" s="31"/>
      <c r="DH477" s="31"/>
      <c r="DI477" s="31"/>
      <c r="DJ477" s="31"/>
      <c r="DK477" s="31"/>
      <c r="DL477" s="31"/>
      <c r="DM477" s="31"/>
      <c r="DN477" s="31"/>
      <c r="DO477" s="31"/>
      <c r="DP477" s="31"/>
      <c r="DQ477" s="31"/>
      <c r="DR477" s="31"/>
      <c r="DS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  <c r="DI478" s="31"/>
      <c r="DJ478" s="31"/>
      <c r="DK478" s="31"/>
      <c r="DL478" s="31"/>
      <c r="DM478" s="31"/>
      <c r="DN478" s="31"/>
      <c r="DO478" s="31"/>
      <c r="DP478" s="31"/>
      <c r="DQ478" s="31"/>
      <c r="DR478" s="31"/>
      <c r="DS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  <c r="DI479" s="31"/>
      <c r="DJ479" s="31"/>
      <c r="DK479" s="31"/>
      <c r="DL479" s="31"/>
      <c r="DM479" s="31"/>
      <c r="DN479" s="31"/>
      <c r="DO479" s="31"/>
      <c r="DP479" s="31"/>
      <c r="DQ479" s="31"/>
      <c r="DR479" s="31"/>
      <c r="DS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1"/>
      <c r="DD480" s="31"/>
      <c r="DE480" s="31"/>
      <c r="DF480" s="31"/>
      <c r="DG480" s="31"/>
      <c r="DH480" s="31"/>
      <c r="DI480" s="31"/>
      <c r="DJ480" s="31"/>
      <c r="DK480" s="31"/>
      <c r="DL480" s="31"/>
      <c r="DM480" s="31"/>
      <c r="DN480" s="31"/>
      <c r="DO480" s="31"/>
      <c r="DP480" s="31"/>
      <c r="DQ480" s="31"/>
      <c r="DR480" s="31"/>
      <c r="DS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1"/>
      <c r="DD481" s="31"/>
      <c r="DE481" s="31"/>
      <c r="DF481" s="31"/>
      <c r="DG481" s="31"/>
      <c r="DH481" s="31"/>
      <c r="DI481" s="31"/>
      <c r="DJ481" s="31"/>
      <c r="DK481" s="31"/>
      <c r="DL481" s="31"/>
      <c r="DM481" s="31"/>
      <c r="DN481" s="31"/>
      <c r="DO481" s="31"/>
      <c r="DP481" s="31"/>
      <c r="DQ481" s="31"/>
      <c r="DR481" s="31"/>
      <c r="DS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  <c r="DI482" s="31"/>
      <c r="DJ482" s="31"/>
      <c r="DK482" s="31"/>
      <c r="DL482" s="31"/>
      <c r="DM482" s="31"/>
      <c r="DN482" s="31"/>
      <c r="DO482" s="31"/>
      <c r="DP482" s="31"/>
      <c r="DQ482" s="31"/>
      <c r="DR482" s="31"/>
      <c r="DS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1"/>
      <c r="DD483" s="31"/>
      <c r="DE483" s="31"/>
      <c r="DF483" s="31"/>
      <c r="DG483" s="31"/>
      <c r="DH483" s="31"/>
      <c r="DI483" s="31"/>
      <c r="DJ483" s="31"/>
      <c r="DK483" s="31"/>
      <c r="DL483" s="31"/>
      <c r="DM483" s="31"/>
      <c r="DN483" s="31"/>
      <c r="DO483" s="31"/>
      <c r="DP483" s="31"/>
      <c r="DQ483" s="31"/>
      <c r="DR483" s="31"/>
      <c r="DS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1"/>
      <c r="DD484" s="31"/>
      <c r="DE484" s="31"/>
      <c r="DF484" s="31"/>
      <c r="DG484" s="31"/>
      <c r="DH484" s="31"/>
      <c r="DI484" s="31"/>
      <c r="DJ484" s="31"/>
      <c r="DK484" s="31"/>
      <c r="DL484" s="31"/>
      <c r="DM484" s="31"/>
      <c r="DN484" s="31"/>
      <c r="DO484" s="31"/>
      <c r="DP484" s="31"/>
      <c r="DQ484" s="31"/>
      <c r="DR484" s="31"/>
      <c r="DS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1"/>
      <c r="DD485" s="31"/>
      <c r="DE485" s="31"/>
      <c r="DF485" s="31"/>
      <c r="DG485" s="31"/>
      <c r="DH485" s="31"/>
      <c r="DI485" s="31"/>
      <c r="DJ485" s="31"/>
      <c r="DK485" s="31"/>
      <c r="DL485" s="31"/>
      <c r="DM485" s="31"/>
      <c r="DN485" s="31"/>
      <c r="DO485" s="31"/>
      <c r="DP485" s="31"/>
      <c r="DQ485" s="31"/>
      <c r="DR485" s="31"/>
      <c r="DS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  <c r="DI486" s="31"/>
      <c r="DJ486" s="31"/>
      <c r="DK486" s="31"/>
      <c r="DL486" s="31"/>
      <c r="DM486" s="31"/>
      <c r="DN486" s="31"/>
      <c r="DO486" s="31"/>
      <c r="DP486" s="31"/>
      <c r="DQ486" s="31"/>
      <c r="DR486" s="31"/>
      <c r="DS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1"/>
      <c r="DD487" s="31"/>
      <c r="DE487" s="31"/>
      <c r="DF487" s="31"/>
      <c r="DG487" s="31"/>
      <c r="DH487" s="31"/>
      <c r="DI487" s="31"/>
      <c r="DJ487" s="31"/>
      <c r="DK487" s="31"/>
      <c r="DL487" s="31"/>
      <c r="DM487" s="31"/>
      <c r="DN487" s="31"/>
      <c r="DO487" s="31"/>
      <c r="DP487" s="31"/>
      <c r="DQ487" s="31"/>
      <c r="DR487" s="31"/>
      <c r="DS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1"/>
      <c r="DD488" s="31"/>
      <c r="DE488" s="31"/>
      <c r="DF488" s="31"/>
      <c r="DG488" s="31"/>
      <c r="DH488" s="31"/>
      <c r="DI488" s="31"/>
      <c r="DJ488" s="31"/>
      <c r="DK488" s="31"/>
      <c r="DL488" s="31"/>
      <c r="DM488" s="31"/>
      <c r="DN488" s="31"/>
      <c r="DO488" s="31"/>
      <c r="DP488" s="31"/>
      <c r="DQ488" s="31"/>
      <c r="DR488" s="31"/>
      <c r="DS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  <c r="DI489" s="31"/>
      <c r="DJ489" s="31"/>
      <c r="DK489" s="31"/>
      <c r="DL489" s="31"/>
      <c r="DM489" s="31"/>
      <c r="DN489" s="31"/>
      <c r="DO489" s="31"/>
      <c r="DP489" s="31"/>
      <c r="DQ489" s="31"/>
      <c r="DR489" s="31"/>
      <c r="DS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  <c r="DI490" s="31"/>
      <c r="DJ490" s="31"/>
      <c r="DK490" s="31"/>
      <c r="DL490" s="31"/>
      <c r="DM490" s="31"/>
      <c r="DN490" s="31"/>
      <c r="DO490" s="31"/>
      <c r="DP490" s="31"/>
      <c r="DQ490" s="31"/>
      <c r="DR490" s="31"/>
      <c r="DS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  <c r="DI491" s="31"/>
      <c r="DJ491" s="31"/>
      <c r="DK491" s="31"/>
      <c r="DL491" s="31"/>
      <c r="DM491" s="31"/>
      <c r="DN491" s="31"/>
      <c r="DO491" s="31"/>
      <c r="DP491" s="31"/>
      <c r="DQ491" s="31"/>
      <c r="DR491" s="31"/>
      <c r="DS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  <c r="DI492" s="31"/>
      <c r="DJ492" s="31"/>
      <c r="DK492" s="31"/>
      <c r="DL492" s="31"/>
      <c r="DM492" s="31"/>
      <c r="DN492" s="31"/>
      <c r="DO492" s="31"/>
      <c r="DP492" s="31"/>
      <c r="DQ492" s="31"/>
      <c r="DR492" s="31"/>
      <c r="DS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1"/>
      <c r="DD493" s="31"/>
      <c r="DE493" s="31"/>
      <c r="DF493" s="31"/>
      <c r="DG493" s="31"/>
      <c r="DH493" s="31"/>
      <c r="DI493" s="31"/>
      <c r="DJ493" s="31"/>
      <c r="DK493" s="31"/>
      <c r="DL493" s="31"/>
      <c r="DM493" s="31"/>
      <c r="DN493" s="31"/>
      <c r="DO493" s="31"/>
      <c r="DP493" s="31"/>
      <c r="DQ493" s="31"/>
      <c r="DR493" s="31"/>
      <c r="DS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1"/>
      <c r="DD494" s="31"/>
      <c r="DE494" s="31"/>
      <c r="DF494" s="31"/>
      <c r="DG494" s="31"/>
      <c r="DH494" s="31"/>
      <c r="DI494" s="31"/>
      <c r="DJ494" s="31"/>
      <c r="DK494" s="31"/>
      <c r="DL494" s="31"/>
      <c r="DM494" s="31"/>
      <c r="DN494" s="31"/>
      <c r="DO494" s="31"/>
      <c r="DP494" s="31"/>
      <c r="DQ494" s="31"/>
      <c r="DR494" s="31"/>
      <c r="DS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1"/>
      <c r="DD495" s="31"/>
      <c r="DE495" s="31"/>
      <c r="DF495" s="31"/>
      <c r="DG495" s="31"/>
      <c r="DH495" s="31"/>
      <c r="DI495" s="31"/>
      <c r="DJ495" s="31"/>
      <c r="DK495" s="31"/>
      <c r="DL495" s="31"/>
      <c r="DM495" s="31"/>
      <c r="DN495" s="31"/>
      <c r="DO495" s="31"/>
      <c r="DP495" s="31"/>
      <c r="DQ495" s="31"/>
      <c r="DR495" s="31"/>
      <c r="DS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  <c r="DI496" s="31"/>
      <c r="DJ496" s="31"/>
      <c r="DK496" s="31"/>
      <c r="DL496" s="31"/>
      <c r="DM496" s="31"/>
      <c r="DN496" s="31"/>
      <c r="DO496" s="31"/>
      <c r="DP496" s="31"/>
      <c r="DQ496" s="31"/>
      <c r="DR496" s="31"/>
      <c r="DS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  <c r="DI497" s="31"/>
      <c r="DJ497" s="31"/>
      <c r="DK497" s="31"/>
      <c r="DL497" s="31"/>
      <c r="DM497" s="31"/>
      <c r="DN497" s="31"/>
      <c r="DO497" s="31"/>
      <c r="DP497" s="31"/>
      <c r="DQ497" s="31"/>
      <c r="DR497" s="31"/>
      <c r="DS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  <c r="DI498" s="31"/>
      <c r="DJ498" s="31"/>
      <c r="DK498" s="31"/>
      <c r="DL498" s="31"/>
      <c r="DM498" s="31"/>
      <c r="DN498" s="31"/>
      <c r="DO498" s="31"/>
      <c r="DP498" s="31"/>
      <c r="DQ498" s="31"/>
      <c r="DR498" s="31"/>
      <c r="DS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  <c r="DI499" s="31"/>
      <c r="DJ499" s="31"/>
      <c r="DK499" s="31"/>
      <c r="DL499" s="31"/>
      <c r="DM499" s="31"/>
      <c r="DN499" s="31"/>
      <c r="DO499" s="31"/>
      <c r="DP499" s="31"/>
      <c r="DQ499" s="31"/>
      <c r="DR499" s="31"/>
      <c r="DS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  <c r="DI500" s="31"/>
      <c r="DJ500" s="31"/>
      <c r="DK500" s="31"/>
      <c r="DL500" s="31"/>
      <c r="DM500" s="31"/>
      <c r="DN500" s="31"/>
      <c r="DO500" s="31"/>
      <c r="DP500" s="31"/>
      <c r="DQ500" s="31"/>
      <c r="DR500" s="31"/>
      <c r="DS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  <c r="DI501" s="31"/>
      <c r="DJ501" s="31"/>
      <c r="DK501" s="31"/>
      <c r="DL501" s="31"/>
      <c r="DM501" s="31"/>
      <c r="DN501" s="31"/>
      <c r="DO501" s="31"/>
      <c r="DP501" s="31"/>
      <c r="DQ501" s="31"/>
      <c r="DR501" s="31"/>
      <c r="DS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1"/>
      <c r="DD502" s="31"/>
      <c r="DE502" s="31"/>
      <c r="DF502" s="31"/>
      <c r="DG502" s="31"/>
      <c r="DH502" s="31"/>
      <c r="DI502" s="31"/>
      <c r="DJ502" s="31"/>
      <c r="DK502" s="31"/>
      <c r="DL502" s="31"/>
      <c r="DM502" s="31"/>
      <c r="DN502" s="31"/>
      <c r="DO502" s="31"/>
      <c r="DP502" s="31"/>
      <c r="DQ502" s="31"/>
      <c r="DR502" s="31"/>
      <c r="DS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1"/>
      <c r="DD503" s="31"/>
      <c r="DE503" s="31"/>
      <c r="DF503" s="31"/>
      <c r="DG503" s="31"/>
      <c r="DH503" s="31"/>
      <c r="DI503" s="31"/>
      <c r="DJ503" s="31"/>
      <c r="DK503" s="31"/>
      <c r="DL503" s="31"/>
      <c r="DM503" s="31"/>
      <c r="DN503" s="31"/>
      <c r="DO503" s="31"/>
      <c r="DP503" s="31"/>
      <c r="DQ503" s="31"/>
      <c r="DR503" s="31"/>
      <c r="DS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  <c r="DI504" s="31"/>
      <c r="DJ504" s="31"/>
      <c r="DK504" s="31"/>
      <c r="DL504" s="31"/>
      <c r="DM504" s="31"/>
      <c r="DN504" s="31"/>
      <c r="DO504" s="31"/>
      <c r="DP504" s="31"/>
      <c r="DQ504" s="31"/>
      <c r="DR504" s="31"/>
      <c r="DS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1"/>
      <c r="DD505" s="31"/>
      <c r="DE505" s="31"/>
      <c r="DF505" s="31"/>
      <c r="DG505" s="31"/>
      <c r="DH505" s="31"/>
      <c r="DI505" s="31"/>
      <c r="DJ505" s="31"/>
      <c r="DK505" s="31"/>
      <c r="DL505" s="31"/>
      <c r="DM505" s="31"/>
      <c r="DN505" s="31"/>
      <c r="DO505" s="31"/>
      <c r="DP505" s="31"/>
      <c r="DQ505" s="31"/>
      <c r="DR505" s="31"/>
      <c r="DS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1"/>
      <c r="DD506" s="31"/>
      <c r="DE506" s="31"/>
      <c r="DF506" s="31"/>
      <c r="DG506" s="31"/>
      <c r="DH506" s="31"/>
      <c r="DI506" s="31"/>
      <c r="DJ506" s="31"/>
      <c r="DK506" s="31"/>
      <c r="DL506" s="31"/>
      <c r="DM506" s="31"/>
      <c r="DN506" s="31"/>
      <c r="DO506" s="31"/>
      <c r="DP506" s="31"/>
      <c r="DQ506" s="31"/>
      <c r="DR506" s="31"/>
      <c r="DS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  <c r="DC507" s="31"/>
      <c r="DD507" s="31"/>
      <c r="DE507" s="31"/>
      <c r="DF507" s="31"/>
      <c r="DG507" s="31"/>
      <c r="DH507" s="31"/>
      <c r="DI507" s="31"/>
      <c r="DJ507" s="31"/>
      <c r="DK507" s="31"/>
      <c r="DL507" s="31"/>
      <c r="DM507" s="31"/>
      <c r="DN507" s="31"/>
      <c r="DO507" s="31"/>
      <c r="DP507" s="31"/>
      <c r="DQ507" s="31"/>
      <c r="DR507" s="31"/>
      <c r="DS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  <c r="CX508" s="31"/>
      <c r="CY508" s="31"/>
      <c r="CZ508" s="31"/>
      <c r="DA508" s="31"/>
      <c r="DB508" s="31"/>
      <c r="DC508" s="31"/>
      <c r="DD508" s="31"/>
      <c r="DE508" s="31"/>
      <c r="DF508" s="31"/>
      <c r="DG508" s="31"/>
      <c r="DH508" s="31"/>
      <c r="DI508" s="31"/>
      <c r="DJ508" s="31"/>
      <c r="DK508" s="31"/>
      <c r="DL508" s="31"/>
      <c r="DM508" s="31"/>
      <c r="DN508" s="31"/>
      <c r="DO508" s="31"/>
      <c r="DP508" s="31"/>
      <c r="DQ508" s="31"/>
      <c r="DR508" s="31"/>
      <c r="DS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  <c r="CX509" s="31"/>
      <c r="CY509" s="31"/>
      <c r="CZ509" s="31"/>
      <c r="DA509" s="31"/>
      <c r="DB509" s="31"/>
      <c r="DC509" s="31"/>
      <c r="DD509" s="31"/>
      <c r="DE509" s="31"/>
      <c r="DF509" s="31"/>
      <c r="DG509" s="31"/>
      <c r="DH509" s="31"/>
      <c r="DI509" s="31"/>
      <c r="DJ509" s="31"/>
      <c r="DK509" s="31"/>
      <c r="DL509" s="31"/>
      <c r="DM509" s="31"/>
      <c r="DN509" s="31"/>
      <c r="DO509" s="31"/>
      <c r="DP509" s="31"/>
      <c r="DQ509" s="31"/>
      <c r="DR509" s="31"/>
      <c r="DS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  <c r="CX510" s="31"/>
      <c r="CY510" s="31"/>
      <c r="CZ510" s="31"/>
      <c r="DA510" s="31"/>
      <c r="DB510" s="31"/>
      <c r="DC510" s="31"/>
      <c r="DD510" s="31"/>
      <c r="DE510" s="31"/>
      <c r="DF510" s="31"/>
      <c r="DG510" s="31"/>
      <c r="DH510" s="31"/>
      <c r="DI510" s="31"/>
      <c r="DJ510" s="31"/>
      <c r="DK510" s="31"/>
      <c r="DL510" s="31"/>
      <c r="DM510" s="31"/>
      <c r="DN510" s="31"/>
      <c r="DO510" s="31"/>
      <c r="DP510" s="31"/>
      <c r="DQ510" s="31"/>
      <c r="DR510" s="31"/>
      <c r="DS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  <c r="DC511" s="31"/>
      <c r="DD511" s="31"/>
      <c r="DE511" s="31"/>
      <c r="DF511" s="31"/>
      <c r="DG511" s="31"/>
      <c r="DH511" s="31"/>
      <c r="DI511" s="31"/>
      <c r="DJ511" s="31"/>
      <c r="DK511" s="31"/>
      <c r="DL511" s="31"/>
      <c r="DM511" s="31"/>
      <c r="DN511" s="31"/>
      <c r="DO511" s="31"/>
      <c r="DP511" s="31"/>
      <c r="DQ511" s="31"/>
      <c r="DR511" s="31"/>
      <c r="DS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  <c r="CX512" s="31"/>
      <c r="CY512" s="31"/>
      <c r="CZ512" s="31"/>
      <c r="DA512" s="31"/>
      <c r="DB512" s="31"/>
      <c r="DC512" s="31"/>
      <c r="DD512" s="31"/>
      <c r="DE512" s="31"/>
      <c r="DF512" s="31"/>
      <c r="DG512" s="31"/>
      <c r="DH512" s="31"/>
      <c r="DI512" s="31"/>
      <c r="DJ512" s="31"/>
      <c r="DK512" s="31"/>
      <c r="DL512" s="31"/>
      <c r="DM512" s="31"/>
      <c r="DN512" s="31"/>
      <c r="DO512" s="31"/>
      <c r="DP512" s="31"/>
      <c r="DQ512" s="31"/>
      <c r="DR512" s="31"/>
      <c r="DS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  <c r="DC513" s="31"/>
      <c r="DD513" s="31"/>
      <c r="DE513" s="31"/>
      <c r="DF513" s="31"/>
      <c r="DG513" s="31"/>
      <c r="DH513" s="31"/>
      <c r="DI513" s="31"/>
      <c r="DJ513" s="31"/>
      <c r="DK513" s="31"/>
      <c r="DL513" s="31"/>
      <c r="DM513" s="31"/>
      <c r="DN513" s="31"/>
      <c r="DO513" s="31"/>
      <c r="DP513" s="31"/>
      <c r="DQ513" s="31"/>
      <c r="DR513" s="31"/>
      <c r="DS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  <c r="DC514" s="31"/>
      <c r="DD514" s="31"/>
      <c r="DE514" s="31"/>
      <c r="DF514" s="31"/>
      <c r="DG514" s="31"/>
      <c r="DH514" s="31"/>
      <c r="DI514" s="31"/>
      <c r="DJ514" s="31"/>
      <c r="DK514" s="31"/>
      <c r="DL514" s="31"/>
      <c r="DM514" s="31"/>
      <c r="DN514" s="31"/>
      <c r="DO514" s="31"/>
      <c r="DP514" s="31"/>
      <c r="DQ514" s="31"/>
      <c r="DR514" s="31"/>
      <c r="DS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  <c r="DC515" s="31"/>
      <c r="DD515" s="31"/>
      <c r="DE515" s="31"/>
      <c r="DF515" s="31"/>
      <c r="DG515" s="31"/>
      <c r="DH515" s="31"/>
      <c r="DI515" s="31"/>
      <c r="DJ515" s="31"/>
      <c r="DK515" s="31"/>
      <c r="DL515" s="31"/>
      <c r="DM515" s="31"/>
      <c r="DN515" s="31"/>
      <c r="DO515" s="31"/>
      <c r="DP515" s="31"/>
      <c r="DQ515" s="31"/>
      <c r="DR515" s="31"/>
      <c r="DS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1"/>
      <c r="DD516" s="31"/>
      <c r="DE516" s="31"/>
      <c r="DF516" s="31"/>
      <c r="DG516" s="31"/>
      <c r="DH516" s="31"/>
      <c r="DI516" s="31"/>
      <c r="DJ516" s="31"/>
      <c r="DK516" s="31"/>
      <c r="DL516" s="31"/>
      <c r="DM516" s="31"/>
      <c r="DN516" s="31"/>
      <c r="DO516" s="31"/>
      <c r="DP516" s="31"/>
      <c r="DQ516" s="31"/>
      <c r="DR516" s="31"/>
      <c r="DS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  <c r="DI517" s="31"/>
      <c r="DJ517" s="31"/>
      <c r="DK517" s="31"/>
      <c r="DL517" s="31"/>
      <c r="DM517" s="31"/>
      <c r="DN517" s="31"/>
      <c r="DO517" s="31"/>
      <c r="DP517" s="31"/>
      <c r="DQ517" s="31"/>
      <c r="DR517" s="31"/>
      <c r="DS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1"/>
      <c r="DD518" s="31"/>
      <c r="DE518" s="31"/>
      <c r="DF518" s="31"/>
      <c r="DG518" s="31"/>
      <c r="DH518" s="31"/>
      <c r="DI518" s="31"/>
      <c r="DJ518" s="31"/>
      <c r="DK518" s="31"/>
      <c r="DL518" s="31"/>
      <c r="DM518" s="31"/>
      <c r="DN518" s="31"/>
      <c r="DO518" s="31"/>
      <c r="DP518" s="31"/>
      <c r="DQ518" s="31"/>
      <c r="DR518" s="31"/>
      <c r="DS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1"/>
      <c r="DD519" s="31"/>
      <c r="DE519" s="31"/>
      <c r="DF519" s="31"/>
      <c r="DG519" s="31"/>
      <c r="DH519" s="31"/>
      <c r="DI519" s="31"/>
      <c r="DJ519" s="31"/>
      <c r="DK519" s="31"/>
      <c r="DL519" s="31"/>
      <c r="DM519" s="31"/>
      <c r="DN519" s="31"/>
      <c r="DO519" s="31"/>
      <c r="DP519" s="31"/>
      <c r="DQ519" s="31"/>
      <c r="DR519" s="31"/>
      <c r="DS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1"/>
      <c r="DD520" s="31"/>
      <c r="DE520" s="31"/>
      <c r="DF520" s="31"/>
      <c r="DG520" s="31"/>
      <c r="DH520" s="31"/>
      <c r="DI520" s="31"/>
      <c r="DJ520" s="31"/>
      <c r="DK520" s="31"/>
      <c r="DL520" s="31"/>
      <c r="DM520" s="31"/>
      <c r="DN520" s="31"/>
      <c r="DO520" s="31"/>
      <c r="DP520" s="31"/>
      <c r="DQ520" s="31"/>
      <c r="DR520" s="31"/>
      <c r="DS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1"/>
      <c r="DD521" s="31"/>
      <c r="DE521" s="31"/>
      <c r="DF521" s="31"/>
      <c r="DG521" s="31"/>
      <c r="DH521" s="31"/>
      <c r="DI521" s="31"/>
      <c r="DJ521" s="31"/>
      <c r="DK521" s="31"/>
      <c r="DL521" s="31"/>
      <c r="DM521" s="31"/>
      <c r="DN521" s="31"/>
      <c r="DO521" s="31"/>
      <c r="DP521" s="31"/>
      <c r="DQ521" s="31"/>
      <c r="DR521" s="31"/>
      <c r="DS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1"/>
      <c r="DD522" s="31"/>
      <c r="DE522" s="31"/>
      <c r="DF522" s="31"/>
      <c r="DG522" s="31"/>
      <c r="DH522" s="31"/>
      <c r="DI522" s="31"/>
      <c r="DJ522" s="31"/>
      <c r="DK522" s="31"/>
      <c r="DL522" s="31"/>
      <c r="DM522" s="31"/>
      <c r="DN522" s="31"/>
      <c r="DO522" s="31"/>
      <c r="DP522" s="31"/>
      <c r="DQ522" s="31"/>
      <c r="DR522" s="31"/>
      <c r="DS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  <c r="DC523" s="31"/>
      <c r="DD523" s="31"/>
      <c r="DE523" s="31"/>
      <c r="DF523" s="31"/>
      <c r="DG523" s="31"/>
      <c r="DH523" s="31"/>
      <c r="DI523" s="31"/>
      <c r="DJ523" s="31"/>
      <c r="DK523" s="31"/>
      <c r="DL523" s="31"/>
      <c r="DM523" s="31"/>
      <c r="DN523" s="31"/>
      <c r="DO523" s="31"/>
      <c r="DP523" s="31"/>
      <c r="DQ523" s="31"/>
      <c r="DR523" s="31"/>
      <c r="DS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1"/>
      <c r="DD524" s="31"/>
      <c r="DE524" s="31"/>
      <c r="DF524" s="31"/>
      <c r="DG524" s="31"/>
      <c r="DH524" s="31"/>
      <c r="DI524" s="31"/>
      <c r="DJ524" s="31"/>
      <c r="DK524" s="31"/>
      <c r="DL524" s="31"/>
      <c r="DM524" s="31"/>
      <c r="DN524" s="31"/>
      <c r="DO524" s="31"/>
      <c r="DP524" s="31"/>
      <c r="DQ524" s="31"/>
      <c r="DR524" s="31"/>
      <c r="DS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  <c r="DC525" s="31"/>
      <c r="DD525" s="31"/>
      <c r="DE525" s="31"/>
      <c r="DF525" s="31"/>
      <c r="DG525" s="31"/>
      <c r="DH525" s="31"/>
      <c r="DI525" s="31"/>
      <c r="DJ525" s="31"/>
      <c r="DK525" s="31"/>
      <c r="DL525" s="31"/>
      <c r="DM525" s="31"/>
      <c r="DN525" s="31"/>
      <c r="DO525" s="31"/>
      <c r="DP525" s="31"/>
      <c r="DQ525" s="31"/>
      <c r="DR525" s="31"/>
      <c r="DS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  <c r="DC526" s="31"/>
      <c r="DD526" s="31"/>
      <c r="DE526" s="31"/>
      <c r="DF526" s="31"/>
      <c r="DG526" s="31"/>
      <c r="DH526" s="31"/>
      <c r="DI526" s="31"/>
      <c r="DJ526" s="31"/>
      <c r="DK526" s="31"/>
      <c r="DL526" s="31"/>
      <c r="DM526" s="31"/>
      <c r="DN526" s="31"/>
      <c r="DO526" s="31"/>
      <c r="DP526" s="31"/>
      <c r="DQ526" s="31"/>
      <c r="DR526" s="31"/>
      <c r="DS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1"/>
      <c r="DD527" s="31"/>
      <c r="DE527" s="31"/>
      <c r="DF527" s="31"/>
      <c r="DG527" s="31"/>
      <c r="DH527" s="31"/>
      <c r="DI527" s="31"/>
      <c r="DJ527" s="31"/>
      <c r="DK527" s="31"/>
      <c r="DL527" s="31"/>
      <c r="DM527" s="31"/>
      <c r="DN527" s="31"/>
      <c r="DO527" s="31"/>
      <c r="DP527" s="31"/>
      <c r="DQ527" s="31"/>
      <c r="DR527" s="31"/>
      <c r="DS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1"/>
      <c r="DD528" s="31"/>
      <c r="DE528" s="31"/>
      <c r="DF528" s="31"/>
      <c r="DG528" s="31"/>
      <c r="DH528" s="31"/>
      <c r="DI528" s="31"/>
      <c r="DJ528" s="31"/>
      <c r="DK528" s="31"/>
      <c r="DL528" s="31"/>
      <c r="DM528" s="31"/>
      <c r="DN528" s="31"/>
      <c r="DO528" s="31"/>
      <c r="DP528" s="31"/>
      <c r="DQ528" s="31"/>
      <c r="DR528" s="31"/>
      <c r="DS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1"/>
      <c r="DD529" s="31"/>
      <c r="DE529" s="31"/>
      <c r="DF529" s="31"/>
      <c r="DG529" s="31"/>
      <c r="DH529" s="31"/>
      <c r="DI529" s="31"/>
      <c r="DJ529" s="31"/>
      <c r="DK529" s="31"/>
      <c r="DL529" s="31"/>
      <c r="DM529" s="31"/>
      <c r="DN529" s="31"/>
      <c r="DO529" s="31"/>
      <c r="DP529" s="31"/>
      <c r="DQ529" s="31"/>
      <c r="DR529" s="31"/>
      <c r="DS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  <c r="CX530" s="31"/>
      <c r="CY530" s="31"/>
      <c r="CZ530" s="31"/>
      <c r="DA530" s="31"/>
      <c r="DB530" s="31"/>
      <c r="DC530" s="31"/>
      <c r="DD530" s="31"/>
      <c r="DE530" s="31"/>
      <c r="DF530" s="31"/>
      <c r="DG530" s="31"/>
      <c r="DH530" s="31"/>
      <c r="DI530" s="31"/>
      <c r="DJ530" s="31"/>
      <c r="DK530" s="31"/>
      <c r="DL530" s="31"/>
      <c r="DM530" s="31"/>
      <c r="DN530" s="31"/>
      <c r="DO530" s="31"/>
      <c r="DP530" s="31"/>
      <c r="DQ530" s="31"/>
      <c r="DR530" s="31"/>
      <c r="DS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  <c r="DC531" s="31"/>
      <c r="DD531" s="31"/>
      <c r="DE531" s="31"/>
      <c r="DF531" s="31"/>
      <c r="DG531" s="31"/>
      <c r="DH531" s="31"/>
      <c r="DI531" s="31"/>
      <c r="DJ531" s="31"/>
      <c r="DK531" s="31"/>
      <c r="DL531" s="31"/>
      <c r="DM531" s="31"/>
      <c r="DN531" s="31"/>
      <c r="DO531" s="31"/>
      <c r="DP531" s="31"/>
      <c r="DQ531" s="31"/>
      <c r="DR531" s="31"/>
      <c r="DS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  <c r="DC532" s="31"/>
      <c r="DD532" s="31"/>
      <c r="DE532" s="31"/>
      <c r="DF532" s="31"/>
      <c r="DG532" s="31"/>
      <c r="DH532" s="31"/>
      <c r="DI532" s="31"/>
      <c r="DJ532" s="31"/>
      <c r="DK532" s="31"/>
      <c r="DL532" s="31"/>
      <c r="DM532" s="31"/>
      <c r="DN532" s="31"/>
      <c r="DO532" s="31"/>
      <c r="DP532" s="31"/>
      <c r="DQ532" s="31"/>
      <c r="DR532" s="31"/>
      <c r="DS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  <c r="CX533" s="31"/>
      <c r="CY533" s="31"/>
      <c r="CZ533" s="31"/>
      <c r="DA533" s="31"/>
      <c r="DB533" s="31"/>
      <c r="DC533" s="31"/>
      <c r="DD533" s="31"/>
      <c r="DE533" s="31"/>
      <c r="DF533" s="31"/>
      <c r="DG533" s="31"/>
      <c r="DH533" s="31"/>
      <c r="DI533" s="31"/>
      <c r="DJ533" s="31"/>
      <c r="DK533" s="31"/>
      <c r="DL533" s="31"/>
      <c r="DM533" s="31"/>
      <c r="DN533" s="31"/>
      <c r="DO533" s="31"/>
      <c r="DP533" s="31"/>
      <c r="DQ533" s="31"/>
      <c r="DR533" s="31"/>
      <c r="DS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  <c r="CX534" s="31"/>
      <c r="CY534" s="31"/>
      <c r="CZ534" s="31"/>
      <c r="DA534" s="31"/>
      <c r="DB534" s="31"/>
      <c r="DC534" s="31"/>
      <c r="DD534" s="31"/>
      <c r="DE534" s="31"/>
      <c r="DF534" s="31"/>
      <c r="DG534" s="31"/>
      <c r="DH534" s="31"/>
      <c r="DI534" s="31"/>
      <c r="DJ534" s="31"/>
      <c r="DK534" s="31"/>
      <c r="DL534" s="31"/>
      <c r="DM534" s="31"/>
      <c r="DN534" s="31"/>
      <c r="DO534" s="31"/>
      <c r="DP534" s="31"/>
      <c r="DQ534" s="31"/>
      <c r="DR534" s="31"/>
      <c r="DS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  <c r="DC535" s="31"/>
      <c r="DD535" s="31"/>
      <c r="DE535" s="31"/>
      <c r="DF535" s="31"/>
      <c r="DG535" s="31"/>
      <c r="DH535" s="31"/>
      <c r="DI535" s="31"/>
      <c r="DJ535" s="31"/>
      <c r="DK535" s="31"/>
      <c r="DL535" s="31"/>
      <c r="DM535" s="31"/>
      <c r="DN535" s="31"/>
      <c r="DO535" s="31"/>
      <c r="DP535" s="31"/>
      <c r="DQ535" s="31"/>
      <c r="DR535" s="31"/>
      <c r="DS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  <c r="CX536" s="31"/>
      <c r="CY536" s="31"/>
      <c r="CZ536" s="31"/>
      <c r="DA536" s="31"/>
      <c r="DB536" s="31"/>
      <c r="DC536" s="31"/>
      <c r="DD536" s="31"/>
      <c r="DE536" s="31"/>
      <c r="DF536" s="31"/>
      <c r="DG536" s="31"/>
      <c r="DH536" s="31"/>
      <c r="DI536" s="31"/>
      <c r="DJ536" s="31"/>
      <c r="DK536" s="31"/>
      <c r="DL536" s="31"/>
      <c r="DM536" s="31"/>
      <c r="DN536" s="31"/>
      <c r="DO536" s="31"/>
      <c r="DP536" s="31"/>
      <c r="DQ536" s="31"/>
      <c r="DR536" s="31"/>
      <c r="DS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  <c r="DC537" s="31"/>
      <c r="DD537" s="31"/>
      <c r="DE537" s="31"/>
      <c r="DF537" s="31"/>
      <c r="DG537" s="31"/>
      <c r="DH537" s="31"/>
      <c r="DI537" s="31"/>
      <c r="DJ537" s="31"/>
      <c r="DK537" s="31"/>
      <c r="DL537" s="31"/>
      <c r="DM537" s="31"/>
      <c r="DN537" s="31"/>
      <c r="DO537" s="31"/>
      <c r="DP537" s="31"/>
      <c r="DQ537" s="31"/>
      <c r="DR537" s="31"/>
      <c r="DS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  <c r="DI538" s="31"/>
      <c r="DJ538" s="31"/>
      <c r="DK538" s="31"/>
      <c r="DL538" s="31"/>
      <c r="DM538" s="31"/>
      <c r="DN538" s="31"/>
      <c r="DO538" s="31"/>
      <c r="DP538" s="31"/>
      <c r="DQ538" s="31"/>
      <c r="DR538" s="31"/>
      <c r="DS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  <c r="DC539" s="31"/>
      <c r="DD539" s="31"/>
      <c r="DE539" s="31"/>
      <c r="DF539" s="31"/>
      <c r="DG539" s="31"/>
      <c r="DH539" s="31"/>
      <c r="DI539" s="31"/>
      <c r="DJ539" s="31"/>
      <c r="DK539" s="31"/>
      <c r="DL539" s="31"/>
      <c r="DM539" s="31"/>
      <c r="DN539" s="31"/>
      <c r="DO539" s="31"/>
      <c r="DP539" s="31"/>
      <c r="DQ539" s="31"/>
      <c r="DR539" s="31"/>
      <c r="DS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  <c r="DC540" s="31"/>
      <c r="DD540" s="31"/>
      <c r="DE540" s="31"/>
      <c r="DF540" s="31"/>
      <c r="DG540" s="31"/>
      <c r="DH540" s="31"/>
      <c r="DI540" s="31"/>
      <c r="DJ540" s="31"/>
      <c r="DK540" s="31"/>
      <c r="DL540" s="31"/>
      <c r="DM540" s="31"/>
      <c r="DN540" s="31"/>
      <c r="DO540" s="31"/>
      <c r="DP540" s="31"/>
      <c r="DQ540" s="31"/>
      <c r="DR540" s="31"/>
      <c r="DS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  <c r="DC541" s="31"/>
      <c r="DD541" s="31"/>
      <c r="DE541" s="31"/>
      <c r="DF541" s="31"/>
      <c r="DG541" s="31"/>
      <c r="DH541" s="31"/>
      <c r="DI541" s="31"/>
      <c r="DJ541" s="31"/>
      <c r="DK541" s="31"/>
      <c r="DL541" s="31"/>
      <c r="DM541" s="31"/>
      <c r="DN541" s="31"/>
      <c r="DO541" s="31"/>
      <c r="DP541" s="31"/>
      <c r="DQ541" s="31"/>
      <c r="DR541" s="31"/>
      <c r="DS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1"/>
      <c r="DD542" s="31"/>
      <c r="DE542" s="31"/>
      <c r="DF542" s="31"/>
      <c r="DG542" s="31"/>
      <c r="DH542" s="31"/>
      <c r="DI542" s="31"/>
      <c r="DJ542" s="31"/>
      <c r="DK542" s="31"/>
      <c r="DL542" s="31"/>
      <c r="DM542" s="31"/>
      <c r="DN542" s="31"/>
      <c r="DO542" s="31"/>
      <c r="DP542" s="31"/>
      <c r="DQ542" s="31"/>
      <c r="DR542" s="31"/>
      <c r="DS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1"/>
      <c r="DD543" s="31"/>
      <c r="DE543" s="31"/>
      <c r="DF543" s="31"/>
      <c r="DG543" s="31"/>
      <c r="DH543" s="31"/>
      <c r="DI543" s="31"/>
      <c r="DJ543" s="31"/>
      <c r="DK543" s="31"/>
      <c r="DL543" s="31"/>
      <c r="DM543" s="31"/>
      <c r="DN543" s="31"/>
      <c r="DO543" s="31"/>
      <c r="DP543" s="31"/>
      <c r="DQ543" s="31"/>
      <c r="DR543" s="31"/>
      <c r="DS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1"/>
      <c r="DD544" s="31"/>
      <c r="DE544" s="31"/>
      <c r="DF544" s="31"/>
      <c r="DG544" s="31"/>
      <c r="DH544" s="31"/>
      <c r="DI544" s="31"/>
      <c r="DJ544" s="31"/>
      <c r="DK544" s="31"/>
      <c r="DL544" s="31"/>
      <c r="DM544" s="31"/>
      <c r="DN544" s="31"/>
      <c r="DO544" s="31"/>
      <c r="DP544" s="31"/>
      <c r="DQ544" s="31"/>
      <c r="DR544" s="31"/>
      <c r="DS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1"/>
      <c r="DD545" s="31"/>
      <c r="DE545" s="31"/>
      <c r="DF545" s="31"/>
      <c r="DG545" s="31"/>
      <c r="DH545" s="31"/>
      <c r="DI545" s="31"/>
      <c r="DJ545" s="31"/>
      <c r="DK545" s="31"/>
      <c r="DL545" s="31"/>
      <c r="DM545" s="31"/>
      <c r="DN545" s="31"/>
      <c r="DO545" s="31"/>
      <c r="DP545" s="31"/>
      <c r="DQ545" s="31"/>
      <c r="DR545" s="31"/>
      <c r="DS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  <c r="DC546" s="31"/>
      <c r="DD546" s="31"/>
      <c r="DE546" s="31"/>
      <c r="DF546" s="31"/>
      <c r="DG546" s="31"/>
      <c r="DH546" s="31"/>
      <c r="DI546" s="31"/>
      <c r="DJ546" s="31"/>
      <c r="DK546" s="31"/>
      <c r="DL546" s="31"/>
      <c r="DM546" s="31"/>
      <c r="DN546" s="31"/>
      <c r="DO546" s="31"/>
      <c r="DP546" s="31"/>
      <c r="DQ546" s="31"/>
      <c r="DR546" s="31"/>
      <c r="DS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  <c r="DC547" s="31"/>
      <c r="DD547" s="31"/>
      <c r="DE547" s="31"/>
      <c r="DF547" s="31"/>
      <c r="DG547" s="31"/>
      <c r="DH547" s="31"/>
      <c r="DI547" s="31"/>
      <c r="DJ547" s="31"/>
      <c r="DK547" s="31"/>
      <c r="DL547" s="31"/>
      <c r="DM547" s="31"/>
      <c r="DN547" s="31"/>
      <c r="DO547" s="31"/>
      <c r="DP547" s="31"/>
      <c r="DQ547" s="31"/>
      <c r="DR547" s="31"/>
      <c r="DS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  <c r="DI548" s="31"/>
      <c r="DJ548" s="31"/>
      <c r="DK548" s="31"/>
      <c r="DL548" s="31"/>
      <c r="DM548" s="31"/>
      <c r="DN548" s="31"/>
      <c r="DO548" s="31"/>
      <c r="DP548" s="31"/>
      <c r="DQ548" s="31"/>
      <c r="DR548" s="31"/>
      <c r="DS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1"/>
      <c r="DD549" s="31"/>
      <c r="DE549" s="31"/>
      <c r="DF549" s="31"/>
      <c r="DG549" s="31"/>
      <c r="DH549" s="31"/>
      <c r="DI549" s="31"/>
      <c r="DJ549" s="31"/>
      <c r="DK549" s="31"/>
      <c r="DL549" s="31"/>
      <c r="DM549" s="31"/>
      <c r="DN549" s="31"/>
      <c r="DO549" s="31"/>
      <c r="DP549" s="31"/>
      <c r="DQ549" s="31"/>
      <c r="DR549" s="31"/>
      <c r="DS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  <c r="DC550" s="31"/>
      <c r="DD550" s="31"/>
      <c r="DE550" s="31"/>
      <c r="DF550" s="31"/>
      <c r="DG550" s="31"/>
      <c r="DH550" s="31"/>
      <c r="DI550" s="31"/>
      <c r="DJ550" s="31"/>
      <c r="DK550" s="31"/>
      <c r="DL550" s="31"/>
      <c r="DM550" s="31"/>
      <c r="DN550" s="31"/>
      <c r="DO550" s="31"/>
      <c r="DP550" s="31"/>
      <c r="DQ550" s="31"/>
      <c r="DR550" s="31"/>
      <c r="DS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1"/>
      <c r="DD551" s="31"/>
      <c r="DE551" s="31"/>
      <c r="DF551" s="31"/>
      <c r="DG551" s="31"/>
      <c r="DH551" s="31"/>
      <c r="DI551" s="31"/>
      <c r="DJ551" s="31"/>
      <c r="DK551" s="31"/>
      <c r="DL551" s="31"/>
      <c r="DM551" s="31"/>
      <c r="DN551" s="31"/>
      <c r="DO551" s="31"/>
      <c r="DP551" s="31"/>
      <c r="DQ551" s="31"/>
      <c r="DR551" s="31"/>
      <c r="DS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  <c r="DC552" s="31"/>
      <c r="DD552" s="31"/>
      <c r="DE552" s="31"/>
      <c r="DF552" s="31"/>
      <c r="DG552" s="31"/>
      <c r="DH552" s="31"/>
      <c r="DI552" s="31"/>
      <c r="DJ552" s="31"/>
      <c r="DK552" s="31"/>
      <c r="DL552" s="31"/>
      <c r="DM552" s="31"/>
      <c r="DN552" s="31"/>
      <c r="DO552" s="31"/>
      <c r="DP552" s="31"/>
      <c r="DQ552" s="31"/>
      <c r="DR552" s="31"/>
      <c r="DS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  <c r="DC553" s="31"/>
      <c r="DD553" s="31"/>
      <c r="DE553" s="31"/>
      <c r="DF553" s="31"/>
      <c r="DG553" s="31"/>
      <c r="DH553" s="31"/>
      <c r="DI553" s="31"/>
      <c r="DJ553" s="31"/>
      <c r="DK553" s="31"/>
      <c r="DL553" s="31"/>
      <c r="DM553" s="31"/>
      <c r="DN553" s="31"/>
      <c r="DO553" s="31"/>
      <c r="DP553" s="31"/>
      <c r="DQ553" s="31"/>
      <c r="DR553" s="31"/>
      <c r="DS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1"/>
      <c r="DD554" s="31"/>
      <c r="DE554" s="31"/>
      <c r="DF554" s="31"/>
      <c r="DG554" s="31"/>
      <c r="DH554" s="31"/>
      <c r="DI554" s="31"/>
      <c r="DJ554" s="31"/>
      <c r="DK554" s="31"/>
      <c r="DL554" s="31"/>
      <c r="DM554" s="31"/>
      <c r="DN554" s="31"/>
      <c r="DO554" s="31"/>
      <c r="DP554" s="31"/>
      <c r="DQ554" s="31"/>
      <c r="DR554" s="31"/>
      <c r="DS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1"/>
      <c r="DD555" s="31"/>
      <c r="DE555" s="31"/>
      <c r="DF555" s="31"/>
      <c r="DG555" s="31"/>
      <c r="DH555" s="31"/>
      <c r="DI555" s="31"/>
      <c r="DJ555" s="31"/>
      <c r="DK555" s="31"/>
      <c r="DL555" s="31"/>
      <c r="DM555" s="31"/>
      <c r="DN555" s="31"/>
      <c r="DO555" s="31"/>
      <c r="DP555" s="31"/>
      <c r="DQ555" s="31"/>
      <c r="DR555" s="31"/>
      <c r="DS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  <c r="DC556" s="31"/>
      <c r="DD556" s="31"/>
      <c r="DE556" s="31"/>
      <c r="DF556" s="31"/>
      <c r="DG556" s="31"/>
      <c r="DH556" s="31"/>
      <c r="DI556" s="31"/>
      <c r="DJ556" s="31"/>
      <c r="DK556" s="31"/>
      <c r="DL556" s="31"/>
      <c r="DM556" s="31"/>
      <c r="DN556" s="31"/>
      <c r="DO556" s="31"/>
      <c r="DP556" s="31"/>
      <c r="DQ556" s="31"/>
      <c r="DR556" s="31"/>
      <c r="DS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  <c r="DC557" s="31"/>
      <c r="DD557" s="31"/>
      <c r="DE557" s="31"/>
      <c r="DF557" s="31"/>
      <c r="DG557" s="31"/>
      <c r="DH557" s="31"/>
      <c r="DI557" s="31"/>
      <c r="DJ557" s="31"/>
      <c r="DK557" s="31"/>
      <c r="DL557" s="31"/>
      <c r="DM557" s="31"/>
      <c r="DN557" s="31"/>
      <c r="DO557" s="31"/>
      <c r="DP557" s="31"/>
      <c r="DQ557" s="31"/>
      <c r="DR557" s="31"/>
      <c r="DS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  <c r="DI558" s="31"/>
      <c r="DJ558" s="31"/>
      <c r="DK558" s="31"/>
      <c r="DL558" s="31"/>
      <c r="DM558" s="31"/>
      <c r="DN558" s="31"/>
      <c r="DO558" s="31"/>
      <c r="DP558" s="31"/>
      <c r="DQ558" s="31"/>
      <c r="DR558" s="31"/>
      <c r="DS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  <c r="DC559" s="31"/>
      <c r="DD559" s="31"/>
      <c r="DE559" s="31"/>
      <c r="DF559" s="31"/>
      <c r="DG559" s="31"/>
      <c r="DH559" s="31"/>
      <c r="DI559" s="31"/>
      <c r="DJ559" s="31"/>
      <c r="DK559" s="31"/>
      <c r="DL559" s="31"/>
      <c r="DM559" s="31"/>
      <c r="DN559" s="31"/>
      <c r="DO559" s="31"/>
      <c r="DP559" s="31"/>
      <c r="DQ559" s="31"/>
      <c r="DR559" s="31"/>
      <c r="DS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  <c r="DC560" s="31"/>
      <c r="DD560" s="31"/>
      <c r="DE560" s="31"/>
      <c r="DF560" s="31"/>
      <c r="DG560" s="31"/>
      <c r="DH560" s="31"/>
      <c r="DI560" s="31"/>
      <c r="DJ560" s="31"/>
      <c r="DK560" s="31"/>
      <c r="DL560" s="31"/>
      <c r="DM560" s="31"/>
      <c r="DN560" s="31"/>
      <c r="DO560" s="31"/>
      <c r="DP560" s="31"/>
      <c r="DQ560" s="31"/>
      <c r="DR560" s="31"/>
      <c r="DS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  <c r="DC561" s="31"/>
      <c r="DD561" s="31"/>
      <c r="DE561" s="31"/>
      <c r="DF561" s="31"/>
      <c r="DG561" s="31"/>
      <c r="DH561" s="31"/>
      <c r="DI561" s="31"/>
      <c r="DJ561" s="31"/>
      <c r="DK561" s="31"/>
      <c r="DL561" s="31"/>
      <c r="DM561" s="31"/>
      <c r="DN561" s="31"/>
      <c r="DO561" s="31"/>
      <c r="DP561" s="31"/>
      <c r="DQ561" s="31"/>
      <c r="DR561" s="31"/>
      <c r="DS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  <c r="DC562" s="31"/>
      <c r="DD562" s="31"/>
      <c r="DE562" s="31"/>
      <c r="DF562" s="31"/>
      <c r="DG562" s="31"/>
      <c r="DH562" s="31"/>
      <c r="DI562" s="31"/>
      <c r="DJ562" s="31"/>
      <c r="DK562" s="31"/>
      <c r="DL562" s="31"/>
      <c r="DM562" s="31"/>
      <c r="DN562" s="31"/>
      <c r="DO562" s="31"/>
      <c r="DP562" s="31"/>
      <c r="DQ562" s="31"/>
      <c r="DR562" s="31"/>
      <c r="DS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  <c r="DC563" s="31"/>
      <c r="DD563" s="31"/>
      <c r="DE563" s="31"/>
      <c r="DF563" s="31"/>
      <c r="DG563" s="31"/>
      <c r="DH563" s="31"/>
      <c r="DI563" s="31"/>
      <c r="DJ563" s="31"/>
      <c r="DK563" s="31"/>
      <c r="DL563" s="31"/>
      <c r="DM563" s="31"/>
      <c r="DN563" s="31"/>
      <c r="DO563" s="31"/>
      <c r="DP563" s="31"/>
      <c r="DQ563" s="31"/>
      <c r="DR563" s="31"/>
      <c r="DS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  <c r="CX564" s="31"/>
      <c r="CY564" s="31"/>
      <c r="CZ564" s="31"/>
      <c r="DA564" s="31"/>
      <c r="DB564" s="31"/>
      <c r="DC564" s="31"/>
      <c r="DD564" s="31"/>
      <c r="DE564" s="31"/>
      <c r="DF564" s="31"/>
      <c r="DG564" s="31"/>
      <c r="DH564" s="31"/>
      <c r="DI564" s="31"/>
      <c r="DJ564" s="31"/>
      <c r="DK564" s="31"/>
      <c r="DL564" s="31"/>
      <c r="DM564" s="31"/>
      <c r="DN564" s="31"/>
      <c r="DO564" s="31"/>
      <c r="DP564" s="31"/>
      <c r="DQ564" s="31"/>
      <c r="DR564" s="31"/>
      <c r="DS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  <c r="DC565" s="31"/>
      <c r="DD565" s="31"/>
      <c r="DE565" s="31"/>
      <c r="DF565" s="31"/>
      <c r="DG565" s="31"/>
      <c r="DH565" s="31"/>
      <c r="DI565" s="31"/>
      <c r="DJ565" s="31"/>
      <c r="DK565" s="31"/>
      <c r="DL565" s="31"/>
      <c r="DM565" s="31"/>
      <c r="DN565" s="31"/>
      <c r="DO565" s="31"/>
      <c r="DP565" s="31"/>
      <c r="DQ565" s="31"/>
      <c r="DR565" s="31"/>
      <c r="DS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  <c r="CX566" s="31"/>
      <c r="CY566" s="31"/>
      <c r="CZ566" s="31"/>
      <c r="DA566" s="31"/>
      <c r="DB566" s="31"/>
      <c r="DC566" s="31"/>
      <c r="DD566" s="31"/>
      <c r="DE566" s="31"/>
      <c r="DF566" s="31"/>
      <c r="DG566" s="31"/>
      <c r="DH566" s="31"/>
      <c r="DI566" s="31"/>
      <c r="DJ566" s="31"/>
      <c r="DK566" s="31"/>
      <c r="DL566" s="31"/>
      <c r="DM566" s="31"/>
      <c r="DN566" s="31"/>
      <c r="DO566" s="31"/>
      <c r="DP566" s="31"/>
      <c r="DQ566" s="31"/>
      <c r="DR566" s="31"/>
      <c r="DS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  <c r="CX567" s="31"/>
      <c r="CY567" s="31"/>
      <c r="CZ567" s="31"/>
      <c r="DA567" s="31"/>
      <c r="DB567" s="31"/>
      <c r="DC567" s="31"/>
      <c r="DD567" s="31"/>
      <c r="DE567" s="31"/>
      <c r="DF567" s="31"/>
      <c r="DG567" s="31"/>
      <c r="DH567" s="31"/>
      <c r="DI567" s="31"/>
      <c r="DJ567" s="31"/>
      <c r="DK567" s="31"/>
      <c r="DL567" s="31"/>
      <c r="DM567" s="31"/>
      <c r="DN567" s="31"/>
      <c r="DO567" s="31"/>
      <c r="DP567" s="31"/>
      <c r="DQ567" s="31"/>
      <c r="DR567" s="31"/>
      <c r="DS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  <c r="CX568" s="31"/>
      <c r="CY568" s="31"/>
      <c r="CZ568" s="31"/>
      <c r="DA568" s="31"/>
      <c r="DB568" s="31"/>
      <c r="DC568" s="31"/>
      <c r="DD568" s="31"/>
      <c r="DE568" s="31"/>
      <c r="DF568" s="31"/>
      <c r="DG568" s="31"/>
      <c r="DH568" s="31"/>
      <c r="DI568" s="31"/>
      <c r="DJ568" s="31"/>
      <c r="DK568" s="31"/>
      <c r="DL568" s="31"/>
      <c r="DM568" s="31"/>
      <c r="DN568" s="31"/>
      <c r="DO568" s="31"/>
      <c r="DP568" s="31"/>
      <c r="DQ568" s="31"/>
      <c r="DR568" s="31"/>
      <c r="DS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  <c r="DC569" s="31"/>
      <c r="DD569" s="31"/>
      <c r="DE569" s="31"/>
      <c r="DF569" s="31"/>
      <c r="DG569" s="31"/>
      <c r="DH569" s="31"/>
      <c r="DI569" s="31"/>
      <c r="DJ569" s="31"/>
      <c r="DK569" s="31"/>
      <c r="DL569" s="31"/>
      <c r="DM569" s="31"/>
      <c r="DN569" s="31"/>
      <c r="DO569" s="31"/>
      <c r="DP569" s="31"/>
      <c r="DQ569" s="31"/>
      <c r="DR569" s="31"/>
      <c r="DS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1"/>
      <c r="DD570" s="31"/>
      <c r="DE570" s="31"/>
      <c r="DF570" s="31"/>
      <c r="DG570" s="31"/>
      <c r="DH570" s="31"/>
      <c r="DI570" s="31"/>
      <c r="DJ570" s="31"/>
      <c r="DK570" s="31"/>
      <c r="DL570" s="31"/>
      <c r="DM570" s="31"/>
      <c r="DN570" s="31"/>
      <c r="DO570" s="31"/>
      <c r="DP570" s="31"/>
      <c r="DQ570" s="31"/>
      <c r="DR570" s="31"/>
      <c r="DS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  <c r="CX571" s="31"/>
      <c r="CY571" s="31"/>
      <c r="CZ571" s="31"/>
      <c r="DA571" s="31"/>
      <c r="DB571" s="31"/>
      <c r="DC571" s="31"/>
      <c r="DD571" s="31"/>
      <c r="DE571" s="31"/>
      <c r="DF571" s="31"/>
      <c r="DG571" s="31"/>
      <c r="DH571" s="31"/>
      <c r="DI571" s="31"/>
      <c r="DJ571" s="31"/>
      <c r="DK571" s="31"/>
      <c r="DL571" s="31"/>
      <c r="DM571" s="31"/>
      <c r="DN571" s="31"/>
      <c r="DO571" s="31"/>
      <c r="DP571" s="31"/>
      <c r="DQ571" s="31"/>
      <c r="DR571" s="31"/>
      <c r="DS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  <c r="CX572" s="31"/>
      <c r="CY572" s="31"/>
      <c r="CZ572" s="31"/>
      <c r="DA572" s="31"/>
      <c r="DB572" s="31"/>
      <c r="DC572" s="31"/>
      <c r="DD572" s="31"/>
      <c r="DE572" s="31"/>
      <c r="DF572" s="31"/>
      <c r="DG572" s="31"/>
      <c r="DH572" s="31"/>
      <c r="DI572" s="31"/>
      <c r="DJ572" s="31"/>
      <c r="DK572" s="31"/>
      <c r="DL572" s="31"/>
      <c r="DM572" s="31"/>
      <c r="DN572" s="31"/>
      <c r="DO572" s="31"/>
      <c r="DP572" s="31"/>
      <c r="DQ572" s="31"/>
      <c r="DR572" s="31"/>
      <c r="DS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  <c r="CX573" s="31"/>
      <c r="CY573" s="31"/>
      <c r="CZ573" s="31"/>
      <c r="DA573" s="31"/>
      <c r="DB573" s="31"/>
      <c r="DC573" s="31"/>
      <c r="DD573" s="31"/>
      <c r="DE573" s="31"/>
      <c r="DF573" s="31"/>
      <c r="DG573" s="31"/>
      <c r="DH573" s="31"/>
      <c r="DI573" s="31"/>
      <c r="DJ573" s="31"/>
      <c r="DK573" s="31"/>
      <c r="DL573" s="31"/>
      <c r="DM573" s="31"/>
      <c r="DN573" s="31"/>
      <c r="DO573" s="31"/>
      <c r="DP573" s="31"/>
      <c r="DQ573" s="31"/>
      <c r="DR573" s="31"/>
      <c r="DS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  <c r="CX574" s="31"/>
      <c r="CY574" s="31"/>
      <c r="CZ574" s="31"/>
      <c r="DA574" s="31"/>
      <c r="DB574" s="31"/>
      <c r="DC574" s="31"/>
      <c r="DD574" s="31"/>
      <c r="DE574" s="31"/>
      <c r="DF574" s="31"/>
      <c r="DG574" s="31"/>
      <c r="DH574" s="31"/>
      <c r="DI574" s="31"/>
      <c r="DJ574" s="31"/>
      <c r="DK574" s="31"/>
      <c r="DL574" s="31"/>
      <c r="DM574" s="31"/>
      <c r="DN574" s="31"/>
      <c r="DO574" s="31"/>
      <c r="DP574" s="31"/>
      <c r="DQ574" s="31"/>
      <c r="DR574" s="31"/>
      <c r="DS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  <c r="DC575" s="31"/>
      <c r="DD575" s="31"/>
      <c r="DE575" s="31"/>
      <c r="DF575" s="31"/>
      <c r="DG575" s="31"/>
      <c r="DH575" s="31"/>
      <c r="DI575" s="31"/>
      <c r="DJ575" s="31"/>
      <c r="DK575" s="31"/>
      <c r="DL575" s="31"/>
      <c r="DM575" s="31"/>
      <c r="DN575" s="31"/>
      <c r="DO575" s="31"/>
      <c r="DP575" s="31"/>
      <c r="DQ575" s="31"/>
      <c r="DR575" s="31"/>
      <c r="DS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  <c r="CX576" s="31"/>
      <c r="CY576" s="31"/>
      <c r="CZ576" s="31"/>
      <c r="DA576" s="31"/>
      <c r="DB576" s="31"/>
      <c r="DC576" s="31"/>
      <c r="DD576" s="31"/>
      <c r="DE576" s="31"/>
      <c r="DF576" s="31"/>
      <c r="DG576" s="31"/>
      <c r="DH576" s="31"/>
      <c r="DI576" s="31"/>
      <c r="DJ576" s="31"/>
      <c r="DK576" s="31"/>
      <c r="DL576" s="31"/>
      <c r="DM576" s="31"/>
      <c r="DN576" s="31"/>
      <c r="DO576" s="31"/>
      <c r="DP576" s="31"/>
      <c r="DQ576" s="31"/>
      <c r="DR576" s="31"/>
      <c r="DS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  <c r="CX577" s="31"/>
      <c r="CY577" s="31"/>
      <c r="CZ577" s="31"/>
      <c r="DA577" s="31"/>
      <c r="DB577" s="31"/>
      <c r="DC577" s="31"/>
      <c r="DD577" s="31"/>
      <c r="DE577" s="31"/>
      <c r="DF577" s="31"/>
      <c r="DG577" s="31"/>
      <c r="DH577" s="31"/>
      <c r="DI577" s="31"/>
      <c r="DJ577" s="31"/>
      <c r="DK577" s="31"/>
      <c r="DL577" s="31"/>
      <c r="DM577" s="31"/>
      <c r="DN577" s="31"/>
      <c r="DO577" s="31"/>
      <c r="DP577" s="31"/>
      <c r="DQ577" s="31"/>
      <c r="DR577" s="31"/>
      <c r="DS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1"/>
      <c r="DD578" s="31"/>
      <c r="DE578" s="31"/>
      <c r="DF578" s="31"/>
      <c r="DG578" s="31"/>
      <c r="DH578" s="31"/>
      <c r="DI578" s="31"/>
      <c r="DJ578" s="31"/>
      <c r="DK578" s="31"/>
      <c r="DL578" s="31"/>
      <c r="DM578" s="31"/>
      <c r="DN578" s="31"/>
      <c r="DO578" s="31"/>
      <c r="DP578" s="31"/>
      <c r="DQ578" s="31"/>
      <c r="DR578" s="31"/>
      <c r="DS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  <c r="DC579" s="31"/>
      <c r="DD579" s="31"/>
      <c r="DE579" s="31"/>
      <c r="DF579" s="31"/>
      <c r="DG579" s="31"/>
      <c r="DH579" s="31"/>
      <c r="DI579" s="31"/>
      <c r="DJ579" s="31"/>
      <c r="DK579" s="31"/>
      <c r="DL579" s="31"/>
      <c r="DM579" s="31"/>
      <c r="DN579" s="31"/>
      <c r="DO579" s="31"/>
      <c r="DP579" s="31"/>
      <c r="DQ579" s="31"/>
      <c r="DR579" s="31"/>
      <c r="DS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  <c r="DC580" s="31"/>
      <c r="DD580" s="31"/>
      <c r="DE580" s="31"/>
      <c r="DF580" s="31"/>
      <c r="DG580" s="31"/>
      <c r="DH580" s="31"/>
      <c r="DI580" s="31"/>
      <c r="DJ580" s="31"/>
      <c r="DK580" s="31"/>
      <c r="DL580" s="31"/>
      <c r="DM580" s="31"/>
      <c r="DN580" s="31"/>
      <c r="DO580" s="31"/>
      <c r="DP580" s="31"/>
      <c r="DQ580" s="31"/>
      <c r="DR580" s="31"/>
      <c r="DS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1"/>
      <c r="DD581" s="31"/>
      <c r="DE581" s="31"/>
      <c r="DF581" s="31"/>
      <c r="DG581" s="31"/>
      <c r="DH581" s="31"/>
      <c r="DI581" s="31"/>
      <c r="DJ581" s="31"/>
      <c r="DK581" s="31"/>
      <c r="DL581" s="31"/>
      <c r="DM581" s="31"/>
      <c r="DN581" s="31"/>
      <c r="DO581" s="31"/>
      <c r="DP581" s="31"/>
      <c r="DQ581" s="31"/>
      <c r="DR581" s="31"/>
      <c r="DS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  <c r="DC582" s="31"/>
      <c r="DD582" s="31"/>
      <c r="DE582" s="31"/>
      <c r="DF582" s="31"/>
      <c r="DG582" s="31"/>
      <c r="DH582" s="31"/>
      <c r="DI582" s="31"/>
      <c r="DJ582" s="31"/>
      <c r="DK582" s="31"/>
      <c r="DL582" s="31"/>
      <c r="DM582" s="31"/>
      <c r="DN582" s="31"/>
      <c r="DO582" s="31"/>
      <c r="DP582" s="31"/>
      <c r="DQ582" s="31"/>
      <c r="DR582" s="31"/>
      <c r="DS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  <c r="DC583" s="31"/>
      <c r="DD583" s="31"/>
      <c r="DE583" s="31"/>
      <c r="DF583" s="31"/>
      <c r="DG583" s="31"/>
      <c r="DH583" s="31"/>
      <c r="DI583" s="31"/>
      <c r="DJ583" s="31"/>
      <c r="DK583" s="31"/>
      <c r="DL583" s="31"/>
      <c r="DM583" s="31"/>
      <c r="DN583" s="31"/>
      <c r="DO583" s="31"/>
      <c r="DP583" s="31"/>
      <c r="DQ583" s="31"/>
      <c r="DR583" s="31"/>
      <c r="DS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  <c r="DI584" s="31"/>
      <c r="DJ584" s="31"/>
      <c r="DK584" s="31"/>
      <c r="DL584" s="31"/>
      <c r="DM584" s="31"/>
      <c r="DN584" s="31"/>
      <c r="DO584" s="31"/>
      <c r="DP584" s="31"/>
      <c r="DQ584" s="31"/>
      <c r="DR584" s="31"/>
      <c r="DS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  <c r="DC585" s="31"/>
      <c r="DD585" s="31"/>
      <c r="DE585" s="31"/>
      <c r="DF585" s="31"/>
      <c r="DG585" s="31"/>
      <c r="DH585" s="31"/>
      <c r="DI585" s="31"/>
      <c r="DJ585" s="31"/>
      <c r="DK585" s="31"/>
      <c r="DL585" s="31"/>
      <c r="DM585" s="31"/>
      <c r="DN585" s="31"/>
      <c r="DO585" s="31"/>
      <c r="DP585" s="31"/>
      <c r="DQ585" s="31"/>
      <c r="DR585" s="31"/>
      <c r="DS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  <c r="DC586" s="31"/>
      <c r="DD586" s="31"/>
      <c r="DE586" s="31"/>
      <c r="DF586" s="31"/>
      <c r="DG586" s="31"/>
      <c r="DH586" s="31"/>
      <c r="DI586" s="31"/>
      <c r="DJ586" s="31"/>
      <c r="DK586" s="31"/>
      <c r="DL586" s="31"/>
      <c r="DM586" s="31"/>
      <c r="DN586" s="31"/>
      <c r="DO586" s="31"/>
      <c r="DP586" s="31"/>
      <c r="DQ586" s="31"/>
      <c r="DR586" s="31"/>
      <c r="DS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  <c r="DC587" s="31"/>
      <c r="DD587" s="31"/>
      <c r="DE587" s="31"/>
      <c r="DF587" s="31"/>
      <c r="DG587" s="31"/>
      <c r="DH587" s="31"/>
      <c r="DI587" s="31"/>
      <c r="DJ587" s="31"/>
      <c r="DK587" s="31"/>
      <c r="DL587" s="31"/>
      <c r="DM587" s="31"/>
      <c r="DN587" s="31"/>
      <c r="DO587" s="31"/>
      <c r="DP587" s="31"/>
      <c r="DQ587" s="31"/>
      <c r="DR587" s="31"/>
      <c r="DS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1"/>
      <c r="DD588" s="31"/>
      <c r="DE588" s="31"/>
      <c r="DF588" s="31"/>
      <c r="DG588" s="31"/>
      <c r="DH588" s="31"/>
      <c r="DI588" s="31"/>
      <c r="DJ588" s="31"/>
      <c r="DK588" s="31"/>
      <c r="DL588" s="31"/>
      <c r="DM588" s="31"/>
      <c r="DN588" s="31"/>
      <c r="DO588" s="31"/>
      <c r="DP588" s="31"/>
      <c r="DQ588" s="31"/>
      <c r="DR588" s="31"/>
      <c r="DS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  <c r="DC589" s="31"/>
      <c r="DD589" s="31"/>
      <c r="DE589" s="31"/>
      <c r="DF589" s="31"/>
      <c r="DG589" s="31"/>
      <c r="DH589" s="31"/>
      <c r="DI589" s="31"/>
      <c r="DJ589" s="31"/>
      <c r="DK589" s="31"/>
      <c r="DL589" s="31"/>
      <c r="DM589" s="31"/>
      <c r="DN589" s="31"/>
      <c r="DO589" s="31"/>
      <c r="DP589" s="31"/>
      <c r="DQ589" s="31"/>
      <c r="DR589" s="31"/>
      <c r="DS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  <c r="DC590" s="31"/>
      <c r="DD590" s="31"/>
      <c r="DE590" s="31"/>
      <c r="DF590" s="31"/>
      <c r="DG590" s="31"/>
      <c r="DH590" s="31"/>
      <c r="DI590" s="31"/>
      <c r="DJ590" s="31"/>
      <c r="DK590" s="31"/>
      <c r="DL590" s="31"/>
      <c r="DM590" s="31"/>
      <c r="DN590" s="31"/>
      <c r="DO590" s="31"/>
      <c r="DP590" s="31"/>
      <c r="DQ590" s="31"/>
      <c r="DR590" s="31"/>
      <c r="DS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  <c r="DC591" s="31"/>
      <c r="DD591" s="31"/>
      <c r="DE591" s="31"/>
      <c r="DF591" s="31"/>
      <c r="DG591" s="31"/>
      <c r="DH591" s="31"/>
      <c r="DI591" s="31"/>
      <c r="DJ591" s="31"/>
      <c r="DK591" s="31"/>
      <c r="DL591" s="31"/>
      <c r="DM591" s="31"/>
      <c r="DN591" s="31"/>
      <c r="DO591" s="31"/>
      <c r="DP591" s="31"/>
      <c r="DQ591" s="31"/>
      <c r="DR591" s="31"/>
      <c r="DS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1"/>
      <c r="DD592" s="31"/>
      <c r="DE592" s="31"/>
      <c r="DF592" s="31"/>
      <c r="DG592" s="31"/>
      <c r="DH592" s="31"/>
      <c r="DI592" s="31"/>
      <c r="DJ592" s="31"/>
      <c r="DK592" s="31"/>
      <c r="DL592" s="31"/>
      <c r="DM592" s="31"/>
      <c r="DN592" s="31"/>
      <c r="DO592" s="31"/>
      <c r="DP592" s="31"/>
      <c r="DQ592" s="31"/>
      <c r="DR592" s="31"/>
      <c r="DS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  <c r="DC593" s="31"/>
      <c r="DD593" s="31"/>
      <c r="DE593" s="31"/>
      <c r="DF593" s="31"/>
      <c r="DG593" s="31"/>
      <c r="DH593" s="31"/>
      <c r="DI593" s="31"/>
      <c r="DJ593" s="31"/>
      <c r="DK593" s="31"/>
      <c r="DL593" s="31"/>
      <c r="DM593" s="31"/>
      <c r="DN593" s="31"/>
      <c r="DO593" s="31"/>
      <c r="DP593" s="31"/>
      <c r="DQ593" s="31"/>
      <c r="DR593" s="31"/>
      <c r="DS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  <c r="CX594" s="31"/>
      <c r="CY594" s="31"/>
      <c r="CZ594" s="31"/>
      <c r="DA594" s="31"/>
      <c r="DB594" s="31"/>
      <c r="DC594" s="31"/>
      <c r="DD594" s="31"/>
      <c r="DE594" s="31"/>
      <c r="DF594" s="31"/>
      <c r="DG594" s="31"/>
      <c r="DH594" s="31"/>
      <c r="DI594" s="31"/>
      <c r="DJ594" s="31"/>
      <c r="DK594" s="31"/>
      <c r="DL594" s="31"/>
      <c r="DM594" s="31"/>
      <c r="DN594" s="31"/>
      <c r="DO594" s="31"/>
      <c r="DP594" s="31"/>
      <c r="DQ594" s="31"/>
      <c r="DR594" s="31"/>
      <c r="DS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  <c r="DC595" s="31"/>
      <c r="DD595" s="31"/>
      <c r="DE595" s="31"/>
      <c r="DF595" s="31"/>
      <c r="DG595" s="31"/>
      <c r="DH595" s="31"/>
      <c r="DI595" s="31"/>
      <c r="DJ595" s="31"/>
      <c r="DK595" s="31"/>
      <c r="DL595" s="31"/>
      <c r="DM595" s="31"/>
      <c r="DN595" s="31"/>
      <c r="DO595" s="31"/>
      <c r="DP595" s="31"/>
      <c r="DQ595" s="31"/>
      <c r="DR595" s="31"/>
      <c r="DS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  <c r="CX596" s="31"/>
      <c r="CY596" s="31"/>
      <c r="CZ596" s="31"/>
      <c r="DA596" s="31"/>
      <c r="DB596" s="31"/>
      <c r="DC596" s="31"/>
      <c r="DD596" s="31"/>
      <c r="DE596" s="31"/>
      <c r="DF596" s="31"/>
      <c r="DG596" s="31"/>
      <c r="DH596" s="31"/>
      <c r="DI596" s="31"/>
      <c r="DJ596" s="31"/>
      <c r="DK596" s="31"/>
      <c r="DL596" s="31"/>
      <c r="DM596" s="31"/>
      <c r="DN596" s="31"/>
      <c r="DO596" s="31"/>
      <c r="DP596" s="31"/>
      <c r="DQ596" s="31"/>
      <c r="DR596" s="31"/>
      <c r="DS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  <c r="CX597" s="31"/>
      <c r="CY597" s="31"/>
      <c r="CZ597" s="31"/>
      <c r="DA597" s="31"/>
      <c r="DB597" s="31"/>
      <c r="DC597" s="31"/>
      <c r="DD597" s="31"/>
      <c r="DE597" s="31"/>
      <c r="DF597" s="31"/>
      <c r="DG597" s="31"/>
      <c r="DH597" s="31"/>
      <c r="DI597" s="31"/>
      <c r="DJ597" s="31"/>
      <c r="DK597" s="31"/>
      <c r="DL597" s="31"/>
      <c r="DM597" s="31"/>
      <c r="DN597" s="31"/>
      <c r="DO597" s="31"/>
      <c r="DP597" s="31"/>
      <c r="DQ597" s="31"/>
      <c r="DR597" s="31"/>
      <c r="DS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  <c r="CX598" s="31"/>
      <c r="CY598" s="31"/>
      <c r="CZ598" s="31"/>
      <c r="DA598" s="31"/>
      <c r="DB598" s="31"/>
      <c r="DC598" s="31"/>
      <c r="DD598" s="31"/>
      <c r="DE598" s="31"/>
      <c r="DF598" s="31"/>
      <c r="DG598" s="31"/>
      <c r="DH598" s="31"/>
      <c r="DI598" s="31"/>
      <c r="DJ598" s="31"/>
      <c r="DK598" s="31"/>
      <c r="DL598" s="31"/>
      <c r="DM598" s="31"/>
      <c r="DN598" s="31"/>
      <c r="DO598" s="31"/>
      <c r="DP598" s="31"/>
      <c r="DQ598" s="31"/>
      <c r="DR598" s="31"/>
      <c r="DS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  <c r="CX599" s="31"/>
      <c r="CY599" s="31"/>
      <c r="CZ599" s="31"/>
      <c r="DA599" s="31"/>
      <c r="DB599" s="31"/>
      <c r="DC599" s="31"/>
      <c r="DD599" s="31"/>
      <c r="DE599" s="31"/>
      <c r="DF599" s="31"/>
      <c r="DG599" s="31"/>
      <c r="DH599" s="31"/>
      <c r="DI599" s="31"/>
      <c r="DJ599" s="31"/>
      <c r="DK599" s="31"/>
      <c r="DL599" s="31"/>
      <c r="DM599" s="31"/>
      <c r="DN599" s="31"/>
      <c r="DO599" s="31"/>
      <c r="DP599" s="31"/>
      <c r="DQ599" s="31"/>
      <c r="DR599" s="31"/>
      <c r="DS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  <c r="CX600" s="31"/>
      <c r="CY600" s="31"/>
      <c r="CZ600" s="31"/>
      <c r="DA600" s="31"/>
      <c r="DB600" s="31"/>
      <c r="DC600" s="31"/>
      <c r="DD600" s="31"/>
      <c r="DE600" s="31"/>
      <c r="DF600" s="31"/>
      <c r="DG600" s="31"/>
      <c r="DH600" s="31"/>
      <c r="DI600" s="31"/>
      <c r="DJ600" s="31"/>
      <c r="DK600" s="31"/>
      <c r="DL600" s="31"/>
      <c r="DM600" s="31"/>
      <c r="DN600" s="31"/>
      <c r="DO600" s="31"/>
      <c r="DP600" s="31"/>
      <c r="DQ600" s="31"/>
      <c r="DR600" s="31"/>
      <c r="DS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  <c r="CX601" s="31"/>
      <c r="CY601" s="31"/>
      <c r="CZ601" s="31"/>
      <c r="DA601" s="31"/>
      <c r="DB601" s="31"/>
      <c r="DC601" s="31"/>
      <c r="DD601" s="31"/>
      <c r="DE601" s="31"/>
      <c r="DF601" s="31"/>
      <c r="DG601" s="31"/>
      <c r="DH601" s="31"/>
      <c r="DI601" s="31"/>
      <c r="DJ601" s="31"/>
      <c r="DK601" s="31"/>
      <c r="DL601" s="31"/>
      <c r="DM601" s="31"/>
      <c r="DN601" s="31"/>
      <c r="DO601" s="31"/>
      <c r="DP601" s="31"/>
      <c r="DQ601" s="31"/>
      <c r="DR601" s="31"/>
      <c r="DS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  <c r="CX602" s="31"/>
      <c r="CY602" s="31"/>
      <c r="CZ602" s="31"/>
      <c r="DA602" s="31"/>
      <c r="DB602" s="31"/>
      <c r="DC602" s="31"/>
      <c r="DD602" s="31"/>
      <c r="DE602" s="31"/>
      <c r="DF602" s="31"/>
      <c r="DG602" s="31"/>
      <c r="DH602" s="31"/>
      <c r="DI602" s="31"/>
      <c r="DJ602" s="31"/>
      <c r="DK602" s="31"/>
      <c r="DL602" s="31"/>
      <c r="DM602" s="31"/>
      <c r="DN602" s="31"/>
      <c r="DO602" s="31"/>
      <c r="DP602" s="31"/>
      <c r="DQ602" s="31"/>
      <c r="DR602" s="31"/>
      <c r="DS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  <c r="CX603" s="31"/>
      <c r="CY603" s="31"/>
      <c r="CZ603" s="31"/>
      <c r="DA603" s="31"/>
      <c r="DB603" s="31"/>
      <c r="DC603" s="31"/>
      <c r="DD603" s="31"/>
      <c r="DE603" s="31"/>
      <c r="DF603" s="31"/>
      <c r="DG603" s="31"/>
      <c r="DH603" s="31"/>
      <c r="DI603" s="31"/>
      <c r="DJ603" s="31"/>
      <c r="DK603" s="31"/>
      <c r="DL603" s="31"/>
      <c r="DM603" s="31"/>
      <c r="DN603" s="31"/>
      <c r="DO603" s="31"/>
      <c r="DP603" s="31"/>
      <c r="DQ603" s="31"/>
      <c r="DR603" s="31"/>
      <c r="DS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  <c r="CX604" s="31"/>
      <c r="CY604" s="31"/>
      <c r="CZ604" s="31"/>
      <c r="DA604" s="31"/>
      <c r="DB604" s="31"/>
      <c r="DC604" s="31"/>
      <c r="DD604" s="31"/>
      <c r="DE604" s="31"/>
      <c r="DF604" s="31"/>
      <c r="DG604" s="31"/>
      <c r="DH604" s="31"/>
      <c r="DI604" s="31"/>
      <c r="DJ604" s="31"/>
      <c r="DK604" s="31"/>
      <c r="DL604" s="31"/>
      <c r="DM604" s="31"/>
      <c r="DN604" s="31"/>
      <c r="DO604" s="31"/>
      <c r="DP604" s="31"/>
      <c r="DQ604" s="31"/>
      <c r="DR604" s="31"/>
      <c r="DS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  <c r="DC605" s="31"/>
      <c r="DD605" s="31"/>
      <c r="DE605" s="31"/>
      <c r="DF605" s="31"/>
      <c r="DG605" s="31"/>
      <c r="DH605" s="31"/>
      <c r="DI605" s="31"/>
      <c r="DJ605" s="31"/>
      <c r="DK605" s="31"/>
      <c r="DL605" s="31"/>
      <c r="DM605" s="31"/>
      <c r="DN605" s="31"/>
      <c r="DO605" s="31"/>
      <c r="DP605" s="31"/>
      <c r="DQ605" s="31"/>
      <c r="DR605" s="31"/>
      <c r="DS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  <c r="CX606" s="31"/>
      <c r="CY606" s="31"/>
      <c r="CZ606" s="31"/>
      <c r="DA606" s="31"/>
      <c r="DB606" s="31"/>
      <c r="DC606" s="31"/>
      <c r="DD606" s="31"/>
      <c r="DE606" s="31"/>
      <c r="DF606" s="31"/>
      <c r="DG606" s="31"/>
      <c r="DH606" s="31"/>
      <c r="DI606" s="31"/>
      <c r="DJ606" s="31"/>
      <c r="DK606" s="31"/>
      <c r="DL606" s="31"/>
      <c r="DM606" s="31"/>
      <c r="DN606" s="31"/>
      <c r="DO606" s="31"/>
      <c r="DP606" s="31"/>
      <c r="DQ606" s="31"/>
      <c r="DR606" s="31"/>
      <c r="DS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  <c r="CX607" s="31"/>
      <c r="CY607" s="31"/>
      <c r="CZ607" s="31"/>
      <c r="DA607" s="31"/>
      <c r="DB607" s="31"/>
      <c r="DC607" s="31"/>
      <c r="DD607" s="31"/>
      <c r="DE607" s="31"/>
      <c r="DF607" s="31"/>
      <c r="DG607" s="31"/>
      <c r="DH607" s="31"/>
      <c r="DI607" s="31"/>
      <c r="DJ607" s="31"/>
      <c r="DK607" s="31"/>
      <c r="DL607" s="31"/>
      <c r="DM607" s="31"/>
      <c r="DN607" s="31"/>
      <c r="DO607" s="31"/>
      <c r="DP607" s="31"/>
      <c r="DQ607" s="31"/>
      <c r="DR607" s="31"/>
      <c r="DS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  <c r="CX608" s="31"/>
      <c r="CY608" s="31"/>
      <c r="CZ608" s="31"/>
      <c r="DA608" s="31"/>
      <c r="DB608" s="31"/>
      <c r="DC608" s="31"/>
      <c r="DD608" s="31"/>
      <c r="DE608" s="31"/>
      <c r="DF608" s="31"/>
      <c r="DG608" s="31"/>
      <c r="DH608" s="31"/>
      <c r="DI608" s="31"/>
      <c r="DJ608" s="31"/>
      <c r="DK608" s="31"/>
      <c r="DL608" s="31"/>
      <c r="DM608" s="31"/>
      <c r="DN608" s="31"/>
      <c r="DO608" s="31"/>
      <c r="DP608" s="31"/>
      <c r="DQ608" s="31"/>
      <c r="DR608" s="31"/>
      <c r="DS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  <c r="CX609" s="31"/>
      <c r="CY609" s="31"/>
      <c r="CZ609" s="31"/>
      <c r="DA609" s="31"/>
      <c r="DB609" s="31"/>
      <c r="DC609" s="31"/>
      <c r="DD609" s="31"/>
      <c r="DE609" s="31"/>
      <c r="DF609" s="31"/>
      <c r="DG609" s="31"/>
      <c r="DH609" s="31"/>
      <c r="DI609" s="31"/>
      <c r="DJ609" s="31"/>
      <c r="DK609" s="31"/>
      <c r="DL609" s="31"/>
      <c r="DM609" s="31"/>
      <c r="DN609" s="31"/>
      <c r="DO609" s="31"/>
      <c r="DP609" s="31"/>
      <c r="DQ609" s="31"/>
      <c r="DR609" s="31"/>
      <c r="DS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  <c r="CX610" s="31"/>
      <c r="CY610" s="31"/>
      <c r="CZ610" s="31"/>
      <c r="DA610" s="31"/>
      <c r="DB610" s="31"/>
      <c r="DC610" s="31"/>
      <c r="DD610" s="31"/>
      <c r="DE610" s="31"/>
      <c r="DF610" s="31"/>
      <c r="DG610" s="31"/>
      <c r="DH610" s="31"/>
      <c r="DI610" s="31"/>
      <c r="DJ610" s="31"/>
      <c r="DK610" s="31"/>
      <c r="DL610" s="31"/>
      <c r="DM610" s="31"/>
      <c r="DN610" s="31"/>
      <c r="DO610" s="31"/>
      <c r="DP610" s="31"/>
      <c r="DQ610" s="31"/>
      <c r="DR610" s="31"/>
      <c r="DS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  <c r="CX611" s="31"/>
      <c r="CY611" s="31"/>
      <c r="CZ611" s="31"/>
      <c r="DA611" s="31"/>
      <c r="DB611" s="31"/>
      <c r="DC611" s="31"/>
      <c r="DD611" s="31"/>
      <c r="DE611" s="31"/>
      <c r="DF611" s="31"/>
      <c r="DG611" s="31"/>
      <c r="DH611" s="31"/>
      <c r="DI611" s="31"/>
      <c r="DJ611" s="31"/>
      <c r="DK611" s="31"/>
      <c r="DL611" s="31"/>
      <c r="DM611" s="31"/>
      <c r="DN611" s="31"/>
      <c r="DO611" s="31"/>
      <c r="DP611" s="31"/>
      <c r="DQ611" s="31"/>
      <c r="DR611" s="31"/>
      <c r="DS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  <c r="CX612" s="31"/>
      <c r="CY612" s="31"/>
      <c r="CZ612" s="31"/>
      <c r="DA612" s="31"/>
      <c r="DB612" s="31"/>
      <c r="DC612" s="31"/>
      <c r="DD612" s="31"/>
      <c r="DE612" s="31"/>
      <c r="DF612" s="31"/>
      <c r="DG612" s="31"/>
      <c r="DH612" s="31"/>
      <c r="DI612" s="31"/>
      <c r="DJ612" s="31"/>
      <c r="DK612" s="31"/>
      <c r="DL612" s="31"/>
      <c r="DM612" s="31"/>
      <c r="DN612" s="31"/>
      <c r="DO612" s="31"/>
      <c r="DP612" s="31"/>
      <c r="DQ612" s="31"/>
      <c r="DR612" s="31"/>
      <c r="DS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  <c r="CX613" s="31"/>
      <c r="CY613" s="31"/>
      <c r="CZ613" s="31"/>
      <c r="DA613" s="31"/>
      <c r="DB613" s="31"/>
      <c r="DC613" s="31"/>
      <c r="DD613" s="31"/>
      <c r="DE613" s="31"/>
      <c r="DF613" s="31"/>
      <c r="DG613" s="31"/>
      <c r="DH613" s="31"/>
      <c r="DI613" s="31"/>
      <c r="DJ613" s="31"/>
      <c r="DK613" s="31"/>
      <c r="DL613" s="31"/>
      <c r="DM613" s="31"/>
      <c r="DN613" s="31"/>
      <c r="DO613" s="31"/>
      <c r="DP613" s="31"/>
      <c r="DQ613" s="31"/>
      <c r="DR613" s="31"/>
      <c r="DS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  <c r="CX614" s="31"/>
      <c r="CY614" s="31"/>
      <c r="CZ614" s="31"/>
      <c r="DA614" s="31"/>
      <c r="DB614" s="31"/>
      <c r="DC614" s="31"/>
      <c r="DD614" s="31"/>
      <c r="DE614" s="31"/>
      <c r="DF614" s="31"/>
      <c r="DG614" s="31"/>
      <c r="DH614" s="31"/>
      <c r="DI614" s="31"/>
      <c r="DJ614" s="31"/>
      <c r="DK614" s="31"/>
      <c r="DL614" s="31"/>
      <c r="DM614" s="31"/>
      <c r="DN614" s="31"/>
      <c r="DO614" s="31"/>
      <c r="DP614" s="31"/>
      <c r="DQ614" s="31"/>
      <c r="DR614" s="31"/>
      <c r="DS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  <c r="CX615" s="31"/>
      <c r="CY615" s="31"/>
      <c r="CZ615" s="31"/>
      <c r="DA615" s="31"/>
      <c r="DB615" s="31"/>
      <c r="DC615" s="31"/>
      <c r="DD615" s="31"/>
      <c r="DE615" s="31"/>
      <c r="DF615" s="31"/>
      <c r="DG615" s="31"/>
      <c r="DH615" s="31"/>
      <c r="DI615" s="31"/>
      <c r="DJ615" s="31"/>
      <c r="DK615" s="31"/>
      <c r="DL615" s="31"/>
      <c r="DM615" s="31"/>
      <c r="DN615" s="31"/>
      <c r="DO615" s="31"/>
      <c r="DP615" s="31"/>
      <c r="DQ615" s="31"/>
      <c r="DR615" s="31"/>
      <c r="DS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  <c r="CX616" s="31"/>
      <c r="CY616" s="31"/>
      <c r="CZ616" s="31"/>
      <c r="DA616" s="31"/>
      <c r="DB616" s="31"/>
      <c r="DC616" s="31"/>
      <c r="DD616" s="31"/>
      <c r="DE616" s="31"/>
      <c r="DF616" s="31"/>
      <c r="DG616" s="31"/>
      <c r="DH616" s="31"/>
      <c r="DI616" s="31"/>
      <c r="DJ616" s="31"/>
      <c r="DK616" s="31"/>
      <c r="DL616" s="31"/>
      <c r="DM616" s="31"/>
      <c r="DN616" s="31"/>
      <c r="DO616" s="31"/>
      <c r="DP616" s="31"/>
      <c r="DQ616" s="31"/>
      <c r="DR616" s="31"/>
      <c r="DS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  <c r="CX617" s="31"/>
      <c r="CY617" s="31"/>
      <c r="CZ617" s="31"/>
      <c r="DA617" s="31"/>
      <c r="DB617" s="31"/>
      <c r="DC617" s="31"/>
      <c r="DD617" s="31"/>
      <c r="DE617" s="31"/>
      <c r="DF617" s="31"/>
      <c r="DG617" s="31"/>
      <c r="DH617" s="31"/>
      <c r="DI617" s="31"/>
      <c r="DJ617" s="31"/>
      <c r="DK617" s="31"/>
      <c r="DL617" s="31"/>
      <c r="DM617" s="31"/>
      <c r="DN617" s="31"/>
      <c r="DO617" s="31"/>
      <c r="DP617" s="31"/>
      <c r="DQ617" s="31"/>
      <c r="DR617" s="31"/>
      <c r="DS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  <c r="CX618" s="31"/>
      <c r="CY618" s="31"/>
      <c r="CZ618" s="31"/>
      <c r="DA618" s="31"/>
      <c r="DB618" s="31"/>
      <c r="DC618" s="31"/>
      <c r="DD618" s="31"/>
      <c r="DE618" s="31"/>
      <c r="DF618" s="31"/>
      <c r="DG618" s="31"/>
      <c r="DH618" s="31"/>
      <c r="DI618" s="31"/>
      <c r="DJ618" s="31"/>
      <c r="DK618" s="31"/>
      <c r="DL618" s="31"/>
      <c r="DM618" s="31"/>
      <c r="DN618" s="31"/>
      <c r="DO618" s="31"/>
      <c r="DP618" s="31"/>
      <c r="DQ618" s="31"/>
      <c r="DR618" s="31"/>
      <c r="DS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  <c r="CX619" s="31"/>
      <c r="CY619" s="31"/>
      <c r="CZ619" s="31"/>
      <c r="DA619" s="31"/>
      <c r="DB619" s="31"/>
      <c r="DC619" s="31"/>
      <c r="DD619" s="31"/>
      <c r="DE619" s="31"/>
      <c r="DF619" s="31"/>
      <c r="DG619" s="31"/>
      <c r="DH619" s="31"/>
      <c r="DI619" s="31"/>
      <c r="DJ619" s="31"/>
      <c r="DK619" s="31"/>
      <c r="DL619" s="31"/>
      <c r="DM619" s="31"/>
      <c r="DN619" s="31"/>
      <c r="DO619" s="31"/>
      <c r="DP619" s="31"/>
      <c r="DQ619" s="31"/>
      <c r="DR619" s="31"/>
      <c r="DS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  <c r="CX620" s="31"/>
      <c r="CY620" s="31"/>
      <c r="CZ620" s="31"/>
      <c r="DA620" s="31"/>
      <c r="DB620" s="31"/>
      <c r="DC620" s="31"/>
      <c r="DD620" s="31"/>
      <c r="DE620" s="31"/>
      <c r="DF620" s="31"/>
      <c r="DG620" s="31"/>
      <c r="DH620" s="31"/>
      <c r="DI620" s="31"/>
      <c r="DJ620" s="31"/>
      <c r="DK620" s="31"/>
      <c r="DL620" s="31"/>
      <c r="DM620" s="31"/>
      <c r="DN620" s="31"/>
      <c r="DO620" s="31"/>
      <c r="DP620" s="31"/>
      <c r="DQ620" s="31"/>
      <c r="DR620" s="31"/>
      <c r="DS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  <c r="DC621" s="31"/>
      <c r="DD621" s="31"/>
      <c r="DE621" s="31"/>
      <c r="DF621" s="31"/>
      <c r="DG621" s="31"/>
      <c r="DH621" s="31"/>
      <c r="DI621" s="31"/>
      <c r="DJ621" s="31"/>
      <c r="DK621" s="31"/>
      <c r="DL621" s="31"/>
      <c r="DM621" s="31"/>
      <c r="DN621" s="31"/>
      <c r="DO621" s="31"/>
      <c r="DP621" s="31"/>
      <c r="DQ621" s="31"/>
      <c r="DR621" s="31"/>
      <c r="DS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  <c r="DC622" s="31"/>
      <c r="DD622" s="31"/>
      <c r="DE622" s="31"/>
      <c r="DF622" s="31"/>
      <c r="DG622" s="31"/>
      <c r="DH622" s="31"/>
      <c r="DI622" s="31"/>
      <c r="DJ622" s="31"/>
      <c r="DK622" s="31"/>
      <c r="DL622" s="31"/>
      <c r="DM622" s="31"/>
      <c r="DN622" s="31"/>
      <c r="DO622" s="31"/>
      <c r="DP622" s="31"/>
      <c r="DQ622" s="31"/>
      <c r="DR622" s="31"/>
      <c r="DS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  <c r="CX623" s="31"/>
      <c r="CY623" s="31"/>
      <c r="CZ623" s="31"/>
      <c r="DA623" s="31"/>
      <c r="DB623" s="31"/>
      <c r="DC623" s="31"/>
      <c r="DD623" s="31"/>
      <c r="DE623" s="31"/>
      <c r="DF623" s="31"/>
      <c r="DG623" s="31"/>
      <c r="DH623" s="31"/>
      <c r="DI623" s="31"/>
      <c r="DJ623" s="31"/>
      <c r="DK623" s="31"/>
      <c r="DL623" s="31"/>
      <c r="DM623" s="31"/>
      <c r="DN623" s="31"/>
      <c r="DO623" s="31"/>
      <c r="DP623" s="31"/>
      <c r="DQ623" s="31"/>
      <c r="DR623" s="31"/>
      <c r="DS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  <c r="DC624" s="31"/>
      <c r="DD624" s="31"/>
      <c r="DE624" s="31"/>
      <c r="DF624" s="31"/>
      <c r="DG624" s="31"/>
      <c r="DH624" s="31"/>
      <c r="DI624" s="31"/>
      <c r="DJ624" s="31"/>
      <c r="DK624" s="31"/>
      <c r="DL624" s="31"/>
      <c r="DM624" s="31"/>
      <c r="DN624" s="31"/>
      <c r="DO624" s="31"/>
      <c r="DP624" s="31"/>
      <c r="DQ624" s="31"/>
      <c r="DR624" s="31"/>
      <c r="DS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  <c r="CX625" s="31"/>
      <c r="CY625" s="31"/>
      <c r="CZ625" s="31"/>
      <c r="DA625" s="31"/>
      <c r="DB625" s="31"/>
      <c r="DC625" s="31"/>
      <c r="DD625" s="31"/>
      <c r="DE625" s="31"/>
      <c r="DF625" s="31"/>
      <c r="DG625" s="31"/>
      <c r="DH625" s="31"/>
      <c r="DI625" s="31"/>
      <c r="DJ625" s="31"/>
      <c r="DK625" s="31"/>
      <c r="DL625" s="31"/>
      <c r="DM625" s="31"/>
      <c r="DN625" s="31"/>
      <c r="DO625" s="31"/>
      <c r="DP625" s="31"/>
      <c r="DQ625" s="31"/>
      <c r="DR625" s="31"/>
      <c r="DS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  <c r="CX626" s="31"/>
      <c r="CY626" s="31"/>
      <c r="CZ626" s="31"/>
      <c r="DA626" s="31"/>
      <c r="DB626" s="31"/>
      <c r="DC626" s="31"/>
      <c r="DD626" s="31"/>
      <c r="DE626" s="31"/>
      <c r="DF626" s="31"/>
      <c r="DG626" s="31"/>
      <c r="DH626" s="31"/>
      <c r="DI626" s="31"/>
      <c r="DJ626" s="31"/>
      <c r="DK626" s="31"/>
      <c r="DL626" s="31"/>
      <c r="DM626" s="31"/>
      <c r="DN626" s="31"/>
      <c r="DO626" s="31"/>
      <c r="DP626" s="31"/>
      <c r="DQ626" s="31"/>
      <c r="DR626" s="31"/>
      <c r="DS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  <c r="CX627" s="31"/>
      <c r="CY627" s="31"/>
      <c r="CZ627" s="31"/>
      <c r="DA627" s="31"/>
      <c r="DB627" s="31"/>
      <c r="DC627" s="31"/>
      <c r="DD627" s="31"/>
      <c r="DE627" s="31"/>
      <c r="DF627" s="31"/>
      <c r="DG627" s="31"/>
      <c r="DH627" s="31"/>
      <c r="DI627" s="31"/>
      <c r="DJ627" s="31"/>
      <c r="DK627" s="31"/>
      <c r="DL627" s="31"/>
      <c r="DM627" s="31"/>
      <c r="DN627" s="31"/>
      <c r="DO627" s="31"/>
      <c r="DP627" s="31"/>
      <c r="DQ627" s="31"/>
      <c r="DR627" s="31"/>
      <c r="DS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  <c r="CX628" s="31"/>
      <c r="CY628" s="31"/>
      <c r="CZ628" s="31"/>
      <c r="DA628" s="31"/>
      <c r="DB628" s="31"/>
      <c r="DC628" s="31"/>
      <c r="DD628" s="31"/>
      <c r="DE628" s="31"/>
      <c r="DF628" s="31"/>
      <c r="DG628" s="31"/>
      <c r="DH628" s="31"/>
      <c r="DI628" s="31"/>
      <c r="DJ628" s="31"/>
      <c r="DK628" s="31"/>
      <c r="DL628" s="31"/>
      <c r="DM628" s="31"/>
      <c r="DN628" s="31"/>
      <c r="DO628" s="31"/>
      <c r="DP628" s="31"/>
      <c r="DQ628" s="31"/>
      <c r="DR628" s="31"/>
      <c r="DS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  <c r="CX629" s="31"/>
      <c r="CY629" s="31"/>
      <c r="CZ629" s="31"/>
      <c r="DA629" s="31"/>
      <c r="DB629" s="31"/>
      <c r="DC629" s="31"/>
      <c r="DD629" s="31"/>
      <c r="DE629" s="31"/>
      <c r="DF629" s="31"/>
      <c r="DG629" s="31"/>
      <c r="DH629" s="31"/>
      <c r="DI629" s="31"/>
      <c r="DJ629" s="31"/>
      <c r="DK629" s="31"/>
      <c r="DL629" s="31"/>
      <c r="DM629" s="31"/>
      <c r="DN629" s="31"/>
      <c r="DO629" s="31"/>
      <c r="DP629" s="31"/>
      <c r="DQ629" s="31"/>
      <c r="DR629" s="31"/>
      <c r="DS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  <c r="CX630" s="31"/>
      <c r="CY630" s="31"/>
      <c r="CZ630" s="31"/>
      <c r="DA630" s="31"/>
      <c r="DB630" s="31"/>
      <c r="DC630" s="31"/>
      <c r="DD630" s="31"/>
      <c r="DE630" s="31"/>
      <c r="DF630" s="31"/>
      <c r="DG630" s="31"/>
      <c r="DH630" s="31"/>
      <c r="DI630" s="31"/>
      <c r="DJ630" s="31"/>
      <c r="DK630" s="31"/>
      <c r="DL630" s="31"/>
      <c r="DM630" s="31"/>
      <c r="DN630" s="31"/>
      <c r="DO630" s="31"/>
      <c r="DP630" s="31"/>
      <c r="DQ630" s="31"/>
      <c r="DR630" s="31"/>
      <c r="DS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  <c r="CX631" s="31"/>
      <c r="CY631" s="31"/>
      <c r="CZ631" s="31"/>
      <c r="DA631" s="31"/>
      <c r="DB631" s="31"/>
      <c r="DC631" s="31"/>
      <c r="DD631" s="31"/>
      <c r="DE631" s="31"/>
      <c r="DF631" s="31"/>
      <c r="DG631" s="31"/>
      <c r="DH631" s="31"/>
      <c r="DI631" s="31"/>
      <c r="DJ631" s="31"/>
      <c r="DK631" s="31"/>
      <c r="DL631" s="31"/>
      <c r="DM631" s="31"/>
      <c r="DN631" s="31"/>
      <c r="DO631" s="31"/>
      <c r="DP631" s="31"/>
      <c r="DQ631" s="31"/>
      <c r="DR631" s="31"/>
      <c r="DS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  <c r="CX632" s="31"/>
      <c r="CY632" s="31"/>
      <c r="CZ632" s="31"/>
      <c r="DA632" s="31"/>
      <c r="DB632" s="31"/>
      <c r="DC632" s="31"/>
      <c r="DD632" s="31"/>
      <c r="DE632" s="31"/>
      <c r="DF632" s="31"/>
      <c r="DG632" s="31"/>
      <c r="DH632" s="31"/>
      <c r="DI632" s="31"/>
      <c r="DJ632" s="31"/>
      <c r="DK632" s="31"/>
      <c r="DL632" s="31"/>
      <c r="DM632" s="31"/>
      <c r="DN632" s="31"/>
      <c r="DO632" s="31"/>
      <c r="DP632" s="31"/>
      <c r="DQ632" s="31"/>
      <c r="DR632" s="31"/>
      <c r="DS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  <c r="CX633" s="31"/>
      <c r="CY633" s="31"/>
      <c r="CZ633" s="31"/>
      <c r="DA633" s="31"/>
      <c r="DB633" s="31"/>
      <c r="DC633" s="31"/>
      <c r="DD633" s="31"/>
      <c r="DE633" s="31"/>
      <c r="DF633" s="31"/>
      <c r="DG633" s="31"/>
      <c r="DH633" s="31"/>
      <c r="DI633" s="31"/>
      <c r="DJ633" s="31"/>
      <c r="DK633" s="31"/>
      <c r="DL633" s="31"/>
      <c r="DM633" s="31"/>
      <c r="DN633" s="31"/>
      <c r="DO633" s="31"/>
      <c r="DP633" s="31"/>
      <c r="DQ633" s="31"/>
      <c r="DR633" s="31"/>
      <c r="DS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  <c r="CX634" s="31"/>
      <c r="CY634" s="31"/>
      <c r="CZ634" s="31"/>
      <c r="DA634" s="31"/>
      <c r="DB634" s="31"/>
      <c r="DC634" s="31"/>
      <c r="DD634" s="31"/>
      <c r="DE634" s="31"/>
      <c r="DF634" s="31"/>
      <c r="DG634" s="31"/>
      <c r="DH634" s="31"/>
      <c r="DI634" s="31"/>
      <c r="DJ634" s="31"/>
      <c r="DK634" s="31"/>
      <c r="DL634" s="31"/>
      <c r="DM634" s="31"/>
      <c r="DN634" s="31"/>
      <c r="DO634" s="31"/>
      <c r="DP634" s="31"/>
      <c r="DQ634" s="31"/>
      <c r="DR634" s="31"/>
      <c r="DS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  <c r="CX635" s="31"/>
      <c r="CY635" s="31"/>
      <c r="CZ635" s="31"/>
      <c r="DA635" s="31"/>
      <c r="DB635" s="31"/>
      <c r="DC635" s="31"/>
      <c r="DD635" s="31"/>
      <c r="DE635" s="31"/>
      <c r="DF635" s="31"/>
      <c r="DG635" s="31"/>
      <c r="DH635" s="31"/>
      <c r="DI635" s="31"/>
      <c r="DJ635" s="31"/>
      <c r="DK635" s="31"/>
      <c r="DL635" s="31"/>
      <c r="DM635" s="31"/>
      <c r="DN635" s="31"/>
      <c r="DO635" s="31"/>
      <c r="DP635" s="31"/>
      <c r="DQ635" s="31"/>
      <c r="DR635" s="31"/>
      <c r="DS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  <c r="CX636" s="31"/>
      <c r="CY636" s="31"/>
      <c r="CZ636" s="31"/>
      <c r="DA636" s="31"/>
      <c r="DB636" s="31"/>
      <c r="DC636" s="31"/>
      <c r="DD636" s="31"/>
      <c r="DE636" s="31"/>
      <c r="DF636" s="31"/>
      <c r="DG636" s="31"/>
      <c r="DH636" s="31"/>
      <c r="DI636" s="31"/>
      <c r="DJ636" s="31"/>
      <c r="DK636" s="31"/>
      <c r="DL636" s="31"/>
      <c r="DM636" s="31"/>
      <c r="DN636" s="31"/>
      <c r="DO636" s="31"/>
      <c r="DP636" s="31"/>
      <c r="DQ636" s="31"/>
      <c r="DR636" s="31"/>
      <c r="DS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  <c r="DC637" s="31"/>
      <c r="DD637" s="31"/>
      <c r="DE637" s="31"/>
      <c r="DF637" s="31"/>
      <c r="DG637" s="31"/>
      <c r="DH637" s="31"/>
      <c r="DI637" s="31"/>
      <c r="DJ637" s="31"/>
      <c r="DK637" s="31"/>
      <c r="DL637" s="31"/>
      <c r="DM637" s="31"/>
      <c r="DN637" s="31"/>
      <c r="DO637" s="31"/>
      <c r="DP637" s="31"/>
      <c r="DQ637" s="31"/>
      <c r="DR637" s="31"/>
      <c r="DS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  <c r="CX638" s="31"/>
      <c r="CY638" s="31"/>
      <c r="CZ638" s="31"/>
      <c r="DA638" s="31"/>
      <c r="DB638" s="31"/>
      <c r="DC638" s="31"/>
      <c r="DD638" s="31"/>
      <c r="DE638" s="31"/>
      <c r="DF638" s="31"/>
      <c r="DG638" s="31"/>
      <c r="DH638" s="31"/>
      <c r="DI638" s="31"/>
      <c r="DJ638" s="31"/>
      <c r="DK638" s="31"/>
      <c r="DL638" s="31"/>
      <c r="DM638" s="31"/>
      <c r="DN638" s="31"/>
      <c r="DO638" s="31"/>
      <c r="DP638" s="31"/>
      <c r="DQ638" s="31"/>
      <c r="DR638" s="31"/>
      <c r="DS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  <c r="CX639" s="31"/>
      <c r="CY639" s="31"/>
      <c r="CZ639" s="31"/>
      <c r="DA639" s="31"/>
      <c r="DB639" s="31"/>
      <c r="DC639" s="31"/>
      <c r="DD639" s="31"/>
      <c r="DE639" s="31"/>
      <c r="DF639" s="31"/>
      <c r="DG639" s="31"/>
      <c r="DH639" s="31"/>
      <c r="DI639" s="31"/>
      <c r="DJ639" s="31"/>
      <c r="DK639" s="31"/>
      <c r="DL639" s="31"/>
      <c r="DM639" s="31"/>
      <c r="DN639" s="31"/>
      <c r="DO639" s="31"/>
      <c r="DP639" s="31"/>
      <c r="DQ639" s="31"/>
      <c r="DR639" s="31"/>
      <c r="DS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  <c r="CX640" s="31"/>
      <c r="CY640" s="31"/>
      <c r="CZ640" s="31"/>
      <c r="DA640" s="31"/>
      <c r="DB640" s="31"/>
      <c r="DC640" s="31"/>
      <c r="DD640" s="31"/>
      <c r="DE640" s="31"/>
      <c r="DF640" s="31"/>
      <c r="DG640" s="31"/>
      <c r="DH640" s="31"/>
      <c r="DI640" s="31"/>
      <c r="DJ640" s="31"/>
      <c r="DK640" s="31"/>
      <c r="DL640" s="31"/>
      <c r="DM640" s="31"/>
      <c r="DN640" s="31"/>
      <c r="DO640" s="31"/>
      <c r="DP640" s="31"/>
      <c r="DQ640" s="31"/>
      <c r="DR640" s="31"/>
      <c r="DS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  <c r="CX641" s="31"/>
      <c r="CY641" s="31"/>
      <c r="CZ641" s="31"/>
      <c r="DA641" s="31"/>
      <c r="DB641" s="31"/>
      <c r="DC641" s="31"/>
      <c r="DD641" s="31"/>
      <c r="DE641" s="31"/>
      <c r="DF641" s="31"/>
      <c r="DG641" s="31"/>
      <c r="DH641" s="31"/>
      <c r="DI641" s="31"/>
      <c r="DJ641" s="31"/>
      <c r="DK641" s="31"/>
      <c r="DL641" s="31"/>
      <c r="DM641" s="31"/>
      <c r="DN641" s="31"/>
      <c r="DO641" s="31"/>
      <c r="DP641" s="31"/>
      <c r="DQ641" s="31"/>
      <c r="DR641" s="31"/>
      <c r="DS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  <c r="CX642" s="31"/>
      <c r="CY642" s="31"/>
      <c r="CZ642" s="31"/>
      <c r="DA642" s="31"/>
      <c r="DB642" s="31"/>
      <c r="DC642" s="31"/>
      <c r="DD642" s="31"/>
      <c r="DE642" s="31"/>
      <c r="DF642" s="31"/>
      <c r="DG642" s="31"/>
      <c r="DH642" s="31"/>
      <c r="DI642" s="31"/>
      <c r="DJ642" s="31"/>
      <c r="DK642" s="31"/>
      <c r="DL642" s="31"/>
      <c r="DM642" s="31"/>
      <c r="DN642" s="31"/>
      <c r="DO642" s="31"/>
      <c r="DP642" s="31"/>
      <c r="DQ642" s="31"/>
      <c r="DR642" s="31"/>
      <c r="DS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  <c r="CX643" s="31"/>
      <c r="CY643" s="31"/>
      <c r="CZ643" s="31"/>
      <c r="DA643" s="31"/>
      <c r="DB643" s="31"/>
      <c r="DC643" s="31"/>
      <c r="DD643" s="31"/>
      <c r="DE643" s="31"/>
      <c r="DF643" s="31"/>
      <c r="DG643" s="31"/>
      <c r="DH643" s="31"/>
      <c r="DI643" s="31"/>
      <c r="DJ643" s="31"/>
      <c r="DK643" s="31"/>
      <c r="DL643" s="31"/>
      <c r="DM643" s="31"/>
      <c r="DN643" s="31"/>
      <c r="DO643" s="31"/>
      <c r="DP643" s="31"/>
      <c r="DQ643" s="31"/>
      <c r="DR643" s="31"/>
      <c r="DS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  <c r="CX644" s="31"/>
      <c r="CY644" s="31"/>
      <c r="CZ644" s="31"/>
      <c r="DA644" s="31"/>
      <c r="DB644" s="31"/>
      <c r="DC644" s="31"/>
      <c r="DD644" s="31"/>
      <c r="DE644" s="31"/>
      <c r="DF644" s="31"/>
      <c r="DG644" s="31"/>
      <c r="DH644" s="31"/>
      <c r="DI644" s="31"/>
      <c r="DJ644" s="31"/>
      <c r="DK644" s="31"/>
      <c r="DL644" s="31"/>
      <c r="DM644" s="31"/>
      <c r="DN644" s="31"/>
      <c r="DO644" s="31"/>
      <c r="DP644" s="31"/>
      <c r="DQ644" s="31"/>
      <c r="DR644" s="31"/>
      <c r="DS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  <c r="CX645" s="31"/>
      <c r="CY645" s="31"/>
      <c r="CZ645" s="31"/>
      <c r="DA645" s="31"/>
      <c r="DB645" s="31"/>
      <c r="DC645" s="31"/>
      <c r="DD645" s="31"/>
      <c r="DE645" s="31"/>
      <c r="DF645" s="31"/>
      <c r="DG645" s="31"/>
      <c r="DH645" s="31"/>
      <c r="DI645" s="31"/>
      <c r="DJ645" s="31"/>
      <c r="DK645" s="31"/>
      <c r="DL645" s="31"/>
      <c r="DM645" s="31"/>
      <c r="DN645" s="31"/>
      <c r="DO645" s="31"/>
      <c r="DP645" s="31"/>
      <c r="DQ645" s="31"/>
      <c r="DR645" s="31"/>
      <c r="DS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  <c r="CX646" s="31"/>
      <c r="CY646" s="31"/>
      <c r="CZ646" s="31"/>
      <c r="DA646" s="31"/>
      <c r="DB646" s="31"/>
      <c r="DC646" s="31"/>
      <c r="DD646" s="31"/>
      <c r="DE646" s="31"/>
      <c r="DF646" s="31"/>
      <c r="DG646" s="31"/>
      <c r="DH646" s="31"/>
      <c r="DI646" s="31"/>
      <c r="DJ646" s="31"/>
      <c r="DK646" s="31"/>
      <c r="DL646" s="31"/>
      <c r="DM646" s="31"/>
      <c r="DN646" s="31"/>
      <c r="DO646" s="31"/>
      <c r="DP646" s="31"/>
      <c r="DQ646" s="31"/>
      <c r="DR646" s="31"/>
      <c r="DS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  <c r="CX647" s="31"/>
      <c r="CY647" s="31"/>
      <c r="CZ647" s="31"/>
      <c r="DA647" s="31"/>
      <c r="DB647" s="31"/>
      <c r="DC647" s="31"/>
      <c r="DD647" s="31"/>
      <c r="DE647" s="31"/>
      <c r="DF647" s="31"/>
      <c r="DG647" s="31"/>
      <c r="DH647" s="31"/>
      <c r="DI647" s="31"/>
      <c r="DJ647" s="31"/>
      <c r="DK647" s="31"/>
      <c r="DL647" s="31"/>
      <c r="DM647" s="31"/>
      <c r="DN647" s="31"/>
      <c r="DO647" s="31"/>
      <c r="DP647" s="31"/>
      <c r="DQ647" s="31"/>
      <c r="DR647" s="31"/>
      <c r="DS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  <c r="CX648" s="31"/>
      <c r="CY648" s="31"/>
      <c r="CZ648" s="31"/>
      <c r="DA648" s="31"/>
      <c r="DB648" s="31"/>
      <c r="DC648" s="31"/>
      <c r="DD648" s="31"/>
      <c r="DE648" s="31"/>
      <c r="DF648" s="31"/>
      <c r="DG648" s="31"/>
      <c r="DH648" s="31"/>
      <c r="DI648" s="31"/>
      <c r="DJ648" s="31"/>
      <c r="DK648" s="31"/>
      <c r="DL648" s="31"/>
      <c r="DM648" s="31"/>
      <c r="DN648" s="31"/>
      <c r="DO648" s="31"/>
      <c r="DP648" s="31"/>
      <c r="DQ648" s="31"/>
      <c r="DR648" s="31"/>
      <c r="DS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  <c r="CX649" s="31"/>
      <c r="CY649" s="31"/>
      <c r="CZ649" s="31"/>
      <c r="DA649" s="31"/>
      <c r="DB649" s="31"/>
      <c r="DC649" s="31"/>
      <c r="DD649" s="31"/>
      <c r="DE649" s="31"/>
      <c r="DF649" s="31"/>
      <c r="DG649" s="31"/>
      <c r="DH649" s="31"/>
      <c r="DI649" s="31"/>
      <c r="DJ649" s="31"/>
      <c r="DK649" s="31"/>
      <c r="DL649" s="31"/>
      <c r="DM649" s="31"/>
      <c r="DN649" s="31"/>
      <c r="DO649" s="31"/>
      <c r="DP649" s="31"/>
      <c r="DQ649" s="31"/>
      <c r="DR649" s="31"/>
      <c r="DS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  <c r="CX650" s="31"/>
      <c r="CY650" s="31"/>
      <c r="CZ650" s="31"/>
      <c r="DA650" s="31"/>
      <c r="DB650" s="31"/>
      <c r="DC650" s="31"/>
      <c r="DD650" s="31"/>
      <c r="DE650" s="31"/>
      <c r="DF650" s="31"/>
      <c r="DG650" s="31"/>
      <c r="DH650" s="31"/>
      <c r="DI650" s="31"/>
      <c r="DJ650" s="31"/>
      <c r="DK650" s="31"/>
      <c r="DL650" s="31"/>
      <c r="DM650" s="31"/>
      <c r="DN650" s="31"/>
      <c r="DO650" s="31"/>
      <c r="DP650" s="31"/>
      <c r="DQ650" s="31"/>
      <c r="DR650" s="31"/>
      <c r="DS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  <c r="CX651" s="31"/>
      <c r="CY651" s="31"/>
      <c r="CZ651" s="31"/>
      <c r="DA651" s="31"/>
      <c r="DB651" s="31"/>
      <c r="DC651" s="31"/>
      <c r="DD651" s="31"/>
      <c r="DE651" s="31"/>
      <c r="DF651" s="31"/>
      <c r="DG651" s="31"/>
      <c r="DH651" s="31"/>
      <c r="DI651" s="31"/>
      <c r="DJ651" s="31"/>
      <c r="DK651" s="31"/>
      <c r="DL651" s="31"/>
      <c r="DM651" s="31"/>
      <c r="DN651" s="31"/>
      <c r="DO651" s="31"/>
      <c r="DP651" s="31"/>
      <c r="DQ651" s="31"/>
      <c r="DR651" s="31"/>
      <c r="DS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  <c r="CX652" s="31"/>
      <c r="CY652" s="31"/>
      <c r="CZ652" s="31"/>
      <c r="DA652" s="31"/>
      <c r="DB652" s="31"/>
      <c r="DC652" s="31"/>
      <c r="DD652" s="31"/>
      <c r="DE652" s="31"/>
      <c r="DF652" s="31"/>
      <c r="DG652" s="31"/>
      <c r="DH652" s="31"/>
      <c r="DI652" s="31"/>
      <c r="DJ652" s="31"/>
      <c r="DK652" s="31"/>
      <c r="DL652" s="31"/>
      <c r="DM652" s="31"/>
      <c r="DN652" s="31"/>
      <c r="DO652" s="31"/>
      <c r="DP652" s="31"/>
      <c r="DQ652" s="31"/>
      <c r="DR652" s="31"/>
      <c r="DS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  <c r="CX653" s="31"/>
      <c r="CY653" s="31"/>
      <c r="CZ653" s="31"/>
      <c r="DA653" s="31"/>
      <c r="DB653" s="31"/>
      <c r="DC653" s="31"/>
      <c r="DD653" s="31"/>
      <c r="DE653" s="31"/>
      <c r="DF653" s="31"/>
      <c r="DG653" s="31"/>
      <c r="DH653" s="31"/>
      <c r="DI653" s="31"/>
      <c r="DJ653" s="31"/>
      <c r="DK653" s="31"/>
      <c r="DL653" s="31"/>
      <c r="DM653" s="31"/>
      <c r="DN653" s="31"/>
      <c r="DO653" s="31"/>
      <c r="DP653" s="31"/>
      <c r="DQ653" s="31"/>
      <c r="DR653" s="31"/>
      <c r="DS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  <c r="CX654" s="31"/>
      <c r="CY654" s="31"/>
      <c r="CZ654" s="31"/>
      <c r="DA654" s="31"/>
      <c r="DB654" s="31"/>
      <c r="DC654" s="31"/>
      <c r="DD654" s="31"/>
      <c r="DE654" s="31"/>
      <c r="DF654" s="31"/>
      <c r="DG654" s="31"/>
      <c r="DH654" s="31"/>
      <c r="DI654" s="31"/>
      <c r="DJ654" s="31"/>
      <c r="DK654" s="31"/>
      <c r="DL654" s="31"/>
      <c r="DM654" s="31"/>
      <c r="DN654" s="31"/>
      <c r="DO654" s="31"/>
      <c r="DP654" s="31"/>
      <c r="DQ654" s="31"/>
      <c r="DR654" s="31"/>
      <c r="DS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  <c r="CX655" s="31"/>
      <c r="CY655" s="31"/>
      <c r="CZ655" s="31"/>
      <c r="DA655" s="31"/>
      <c r="DB655" s="31"/>
      <c r="DC655" s="31"/>
      <c r="DD655" s="31"/>
      <c r="DE655" s="31"/>
      <c r="DF655" s="31"/>
      <c r="DG655" s="31"/>
      <c r="DH655" s="31"/>
      <c r="DI655" s="31"/>
      <c r="DJ655" s="31"/>
      <c r="DK655" s="31"/>
      <c r="DL655" s="31"/>
      <c r="DM655" s="31"/>
      <c r="DN655" s="31"/>
      <c r="DO655" s="31"/>
      <c r="DP655" s="31"/>
      <c r="DQ655" s="31"/>
      <c r="DR655" s="31"/>
      <c r="DS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  <c r="CX656" s="31"/>
      <c r="CY656" s="31"/>
      <c r="CZ656" s="31"/>
      <c r="DA656" s="31"/>
      <c r="DB656" s="31"/>
      <c r="DC656" s="31"/>
      <c r="DD656" s="31"/>
      <c r="DE656" s="31"/>
      <c r="DF656" s="31"/>
      <c r="DG656" s="31"/>
      <c r="DH656" s="31"/>
      <c r="DI656" s="31"/>
      <c r="DJ656" s="31"/>
      <c r="DK656" s="31"/>
      <c r="DL656" s="31"/>
      <c r="DM656" s="31"/>
      <c r="DN656" s="31"/>
      <c r="DO656" s="31"/>
      <c r="DP656" s="31"/>
      <c r="DQ656" s="31"/>
      <c r="DR656" s="31"/>
      <c r="DS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  <c r="CX657" s="31"/>
      <c r="CY657" s="31"/>
      <c r="CZ657" s="31"/>
      <c r="DA657" s="31"/>
      <c r="DB657" s="31"/>
      <c r="DC657" s="31"/>
      <c r="DD657" s="31"/>
      <c r="DE657" s="31"/>
      <c r="DF657" s="31"/>
      <c r="DG657" s="31"/>
      <c r="DH657" s="31"/>
      <c r="DI657" s="31"/>
      <c r="DJ657" s="31"/>
      <c r="DK657" s="31"/>
      <c r="DL657" s="31"/>
      <c r="DM657" s="31"/>
      <c r="DN657" s="31"/>
      <c r="DO657" s="31"/>
      <c r="DP657" s="31"/>
      <c r="DQ657" s="31"/>
      <c r="DR657" s="31"/>
      <c r="DS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  <c r="CX658" s="31"/>
      <c r="CY658" s="31"/>
      <c r="CZ658" s="31"/>
      <c r="DA658" s="31"/>
      <c r="DB658" s="31"/>
      <c r="DC658" s="31"/>
      <c r="DD658" s="31"/>
      <c r="DE658" s="31"/>
      <c r="DF658" s="31"/>
      <c r="DG658" s="31"/>
      <c r="DH658" s="31"/>
      <c r="DI658" s="31"/>
      <c r="DJ658" s="31"/>
      <c r="DK658" s="31"/>
      <c r="DL658" s="31"/>
      <c r="DM658" s="31"/>
      <c r="DN658" s="31"/>
      <c r="DO658" s="31"/>
      <c r="DP658" s="31"/>
      <c r="DQ658" s="31"/>
      <c r="DR658" s="31"/>
      <c r="DS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  <c r="CX659" s="31"/>
      <c r="CY659" s="31"/>
      <c r="CZ659" s="31"/>
      <c r="DA659" s="31"/>
      <c r="DB659" s="31"/>
      <c r="DC659" s="31"/>
      <c r="DD659" s="31"/>
      <c r="DE659" s="31"/>
      <c r="DF659" s="31"/>
      <c r="DG659" s="31"/>
      <c r="DH659" s="31"/>
      <c r="DI659" s="31"/>
      <c r="DJ659" s="31"/>
      <c r="DK659" s="31"/>
      <c r="DL659" s="31"/>
      <c r="DM659" s="31"/>
      <c r="DN659" s="31"/>
      <c r="DO659" s="31"/>
      <c r="DP659" s="31"/>
      <c r="DQ659" s="31"/>
      <c r="DR659" s="31"/>
      <c r="DS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  <c r="DC660" s="31"/>
      <c r="DD660" s="31"/>
      <c r="DE660" s="31"/>
      <c r="DF660" s="31"/>
      <c r="DG660" s="31"/>
      <c r="DH660" s="31"/>
      <c r="DI660" s="31"/>
      <c r="DJ660" s="31"/>
      <c r="DK660" s="31"/>
      <c r="DL660" s="31"/>
      <c r="DM660" s="31"/>
      <c r="DN660" s="31"/>
      <c r="DO660" s="31"/>
      <c r="DP660" s="31"/>
      <c r="DQ660" s="31"/>
      <c r="DR660" s="31"/>
      <c r="DS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  <c r="CX661" s="31"/>
      <c r="CY661" s="31"/>
      <c r="CZ661" s="31"/>
      <c r="DA661" s="31"/>
      <c r="DB661" s="31"/>
      <c r="DC661" s="31"/>
      <c r="DD661" s="31"/>
      <c r="DE661" s="31"/>
      <c r="DF661" s="31"/>
      <c r="DG661" s="31"/>
      <c r="DH661" s="31"/>
      <c r="DI661" s="31"/>
      <c r="DJ661" s="31"/>
      <c r="DK661" s="31"/>
      <c r="DL661" s="31"/>
      <c r="DM661" s="31"/>
      <c r="DN661" s="31"/>
      <c r="DO661" s="31"/>
      <c r="DP661" s="31"/>
      <c r="DQ661" s="31"/>
      <c r="DR661" s="31"/>
      <c r="DS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  <c r="CX662" s="31"/>
      <c r="CY662" s="31"/>
      <c r="CZ662" s="31"/>
      <c r="DA662" s="31"/>
      <c r="DB662" s="31"/>
      <c r="DC662" s="31"/>
      <c r="DD662" s="31"/>
      <c r="DE662" s="31"/>
      <c r="DF662" s="31"/>
      <c r="DG662" s="31"/>
      <c r="DH662" s="31"/>
      <c r="DI662" s="31"/>
      <c r="DJ662" s="31"/>
      <c r="DK662" s="31"/>
      <c r="DL662" s="31"/>
      <c r="DM662" s="31"/>
      <c r="DN662" s="31"/>
      <c r="DO662" s="31"/>
      <c r="DP662" s="31"/>
      <c r="DQ662" s="31"/>
      <c r="DR662" s="31"/>
      <c r="DS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  <c r="CX663" s="31"/>
      <c r="CY663" s="31"/>
      <c r="CZ663" s="31"/>
      <c r="DA663" s="31"/>
      <c r="DB663" s="31"/>
      <c r="DC663" s="31"/>
      <c r="DD663" s="31"/>
      <c r="DE663" s="31"/>
      <c r="DF663" s="31"/>
      <c r="DG663" s="31"/>
      <c r="DH663" s="31"/>
      <c r="DI663" s="31"/>
      <c r="DJ663" s="31"/>
      <c r="DK663" s="31"/>
      <c r="DL663" s="31"/>
      <c r="DM663" s="31"/>
      <c r="DN663" s="31"/>
      <c r="DO663" s="31"/>
      <c r="DP663" s="31"/>
      <c r="DQ663" s="31"/>
      <c r="DR663" s="31"/>
      <c r="DS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  <c r="CX664" s="31"/>
      <c r="CY664" s="31"/>
      <c r="CZ664" s="31"/>
      <c r="DA664" s="31"/>
      <c r="DB664" s="31"/>
      <c r="DC664" s="31"/>
      <c r="DD664" s="31"/>
      <c r="DE664" s="31"/>
      <c r="DF664" s="31"/>
      <c r="DG664" s="31"/>
      <c r="DH664" s="31"/>
      <c r="DI664" s="31"/>
      <c r="DJ664" s="31"/>
      <c r="DK664" s="31"/>
      <c r="DL664" s="31"/>
      <c r="DM664" s="31"/>
      <c r="DN664" s="31"/>
      <c r="DO664" s="31"/>
      <c r="DP664" s="31"/>
      <c r="DQ664" s="31"/>
      <c r="DR664" s="31"/>
      <c r="DS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  <c r="CX665" s="31"/>
      <c r="CY665" s="31"/>
      <c r="CZ665" s="31"/>
      <c r="DA665" s="31"/>
      <c r="DB665" s="31"/>
      <c r="DC665" s="31"/>
      <c r="DD665" s="31"/>
      <c r="DE665" s="31"/>
      <c r="DF665" s="31"/>
      <c r="DG665" s="31"/>
      <c r="DH665" s="31"/>
      <c r="DI665" s="31"/>
      <c r="DJ665" s="31"/>
      <c r="DK665" s="31"/>
      <c r="DL665" s="31"/>
      <c r="DM665" s="31"/>
      <c r="DN665" s="31"/>
      <c r="DO665" s="31"/>
      <c r="DP665" s="31"/>
      <c r="DQ665" s="31"/>
      <c r="DR665" s="31"/>
      <c r="DS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  <c r="CX666" s="31"/>
      <c r="CY666" s="31"/>
      <c r="CZ666" s="31"/>
      <c r="DA666" s="31"/>
      <c r="DB666" s="31"/>
      <c r="DC666" s="31"/>
      <c r="DD666" s="31"/>
      <c r="DE666" s="31"/>
      <c r="DF666" s="31"/>
      <c r="DG666" s="31"/>
      <c r="DH666" s="31"/>
      <c r="DI666" s="31"/>
      <c r="DJ666" s="31"/>
      <c r="DK666" s="31"/>
      <c r="DL666" s="31"/>
      <c r="DM666" s="31"/>
      <c r="DN666" s="31"/>
      <c r="DO666" s="31"/>
      <c r="DP666" s="31"/>
      <c r="DQ666" s="31"/>
      <c r="DR666" s="31"/>
      <c r="DS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  <c r="CX667" s="31"/>
      <c r="CY667" s="31"/>
      <c r="CZ667" s="31"/>
      <c r="DA667" s="31"/>
      <c r="DB667" s="31"/>
      <c r="DC667" s="31"/>
      <c r="DD667" s="31"/>
      <c r="DE667" s="31"/>
      <c r="DF667" s="31"/>
      <c r="DG667" s="31"/>
      <c r="DH667" s="31"/>
      <c r="DI667" s="31"/>
      <c r="DJ667" s="31"/>
      <c r="DK667" s="31"/>
      <c r="DL667" s="31"/>
      <c r="DM667" s="31"/>
      <c r="DN667" s="31"/>
      <c r="DO667" s="31"/>
      <c r="DP667" s="31"/>
      <c r="DQ667" s="31"/>
      <c r="DR667" s="31"/>
      <c r="DS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  <c r="CX668" s="31"/>
      <c r="CY668" s="31"/>
      <c r="CZ668" s="31"/>
      <c r="DA668" s="31"/>
      <c r="DB668" s="31"/>
      <c r="DC668" s="31"/>
      <c r="DD668" s="31"/>
      <c r="DE668" s="31"/>
      <c r="DF668" s="31"/>
      <c r="DG668" s="31"/>
      <c r="DH668" s="31"/>
      <c r="DI668" s="31"/>
      <c r="DJ668" s="31"/>
      <c r="DK668" s="31"/>
      <c r="DL668" s="31"/>
      <c r="DM668" s="31"/>
      <c r="DN668" s="31"/>
      <c r="DO668" s="31"/>
      <c r="DP668" s="31"/>
      <c r="DQ668" s="31"/>
      <c r="DR668" s="31"/>
      <c r="DS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  <c r="CX669" s="31"/>
      <c r="CY669" s="31"/>
      <c r="CZ669" s="31"/>
      <c r="DA669" s="31"/>
      <c r="DB669" s="31"/>
      <c r="DC669" s="31"/>
      <c r="DD669" s="31"/>
      <c r="DE669" s="31"/>
      <c r="DF669" s="31"/>
      <c r="DG669" s="31"/>
      <c r="DH669" s="31"/>
      <c r="DI669" s="31"/>
      <c r="DJ669" s="31"/>
      <c r="DK669" s="31"/>
      <c r="DL669" s="31"/>
      <c r="DM669" s="31"/>
      <c r="DN669" s="31"/>
      <c r="DO669" s="31"/>
      <c r="DP669" s="31"/>
      <c r="DQ669" s="31"/>
      <c r="DR669" s="31"/>
      <c r="DS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  <c r="CX670" s="31"/>
      <c r="CY670" s="31"/>
      <c r="CZ670" s="31"/>
      <c r="DA670" s="31"/>
      <c r="DB670" s="31"/>
      <c r="DC670" s="31"/>
      <c r="DD670" s="31"/>
      <c r="DE670" s="31"/>
      <c r="DF670" s="31"/>
      <c r="DG670" s="31"/>
      <c r="DH670" s="31"/>
      <c r="DI670" s="31"/>
      <c r="DJ670" s="31"/>
      <c r="DK670" s="31"/>
      <c r="DL670" s="31"/>
      <c r="DM670" s="31"/>
      <c r="DN670" s="31"/>
      <c r="DO670" s="31"/>
      <c r="DP670" s="31"/>
      <c r="DQ670" s="31"/>
      <c r="DR670" s="31"/>
      <c r="DS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  <c r="CX671" s="31"/>
      <c r="CY671" s="31"/>
      <c r="CZ671" s="31"/>
      <c r="DA671" s="31"/>
      <c r="DB671" s="31"/>
      <c r="DC671" s="31"/>
      <c r="DD671" s="31"/>
      <c r="DE671" s="31"/>
      <c r="DF671" s="31"/>
      <c r="DG671" s="31"/>
      <c r="DH671" s="31"/>
      <c r="DI671" s="31"/>
      <c r="DJ671" s="31"/>
      <c r="DK671" s="31"/>
      <c r="DL671" s="31"/>
      <c r="DM671" s="31"/>
      <c r="DN671" s="31"/>
      <c r="DO671" s="31"/>
      <c r="DP671" s="31"/>
      <c r="DQ671" s="31"/>
      <c r="DR671" s="31"/>
      <c r="DS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  <c r="CX672" s="31"/>
      <c r="CY672" s="31"/>
      <c r="CZ672" s="31"/>
      <c r="DA672" s="31"/>
      <c r="DB672" s="31"/>
      <c r="DC672" s="31"/>
      <c r="DD672" s="31"/>
      <c r="DE672" s="31"/>
      <c r="DF672" s="31"/>
      <c r="DG672" s="31"/>
      <c r="DH672" s="31"/>
      <c r="DI672" s="31"/>
      <c r="DJ672" s="31"/>
      <c r="DK672" s="31"/>
      <c r="DL672" s="31"/>
      <c r="DM672" s="31"/>
      <c r="DN672" s="31"/>
      <c r="DO672" s="31"/>
      <c r="DP672" s="31"/>
      <c r="DQ672" s="31"/>
      <c r="DR672" s="31"/>
      <c r="DS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  <c r="CX673" s="31"/>
      <c r="CY673" s="31"/>
      <c r="CZ673" s="31"/>
      <c r="DA673" s="31"/>
      <c r="DB673" s="31"/>
      <c r="DC673" s="31"/>
      <c r="DD673" s="31"/>
      <c r="DE673" s="31"/>
      <c r="DF673" s="31"/>
      <c r="DG673" s="31"/>
      <c r="DH673" s="31"/>
      <c r="DI673" s="31"/>
      <c r="DJ673" s="31"/>
      <c r="DK673" s="31"/>
      <c r="DL673" s="31"/>
      <c r="DM673" s="31"/>
      <c r="DN673" s="31"/>
      <c r="DO673" s="31"/>
      <c r="DP673" s="31"/>
      <c r="DQ673" s="31"/>
      <c r="DR673" s="31"/>
      <c r="DS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  <c r="CX674" s="31"/>
      <c r="CY674" s="31"/>
      <c r="CZ674" s="31"/>
      <c r="DA674" s="31"/>
      <c r="DB674" s="31"/>
      <c r="DC674" s="31"/>
      <c r="DD674" s="31"/>
      <c r="DE674" s="31"/>
      <c r="DF674" s="31"/>
      <c r="DG674" s="31"/>
      <c r="DH674" s="31"/>
      <c r="DI674" s="31"/>
      <c r="DJ674" s="31"/>
      <c r="DK674" s="31"/>
      <c r="DL674" s="31"/>
      <c r="DM674" s="31"/>
      <c r="DN674" s="31"/>
      <c r="DO674" s="31"/>
      <c r="DP674" s="31"/>
      <c r="DQ674" s="31"/>
      <c r="DR674" s="31"/>
      <c r="DS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  <c r="CX675" s="31"/>
      <c r="CY675" s="31"/>
      <c r="CZ675" s="31"/>
      <c r="DA675" s="31"/>
      <c r="DB675" s="31"/>
      <c r="DC675" s="31"/>
      <c r="DD675" s="31"/>
      <c r="DE675" s="31"/>
      <c r="DF675" s="31"/>
      <c r="DG675" s="31"/>
      <c r="DH675" s="31"/>
      <c r="DI675" s="31"/>
      <c r="DJ675" s="31"/>
      <c r="DK675" s="31"/>
      <c r="DL675" s="31"/>
      <c r="DM675" s="31"/>
      <c r="DN675" s="31"/>
      <c r="DO675" s="31"/>
      <c r="DP675" s="31"/>
      <c r="DQ675" s="31"/>
      <c r="DR675" s="31"/>
      <c r="DS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  <c r="CX676" s="31"/>
      <c r="CY676" s="31"/>
      <c r="CZ676" s="31"/>
      <c r="DA676" s="31"/>
      <c r="DB676" s="31"/>
      <c r="DC676" s="31"/>
      <c r="DD676" s="31"/>
      <c r="DE676" s="31"/>
      <c r="DF676" s="31"/>
      <c r="DG676" s="31"/>
      <c r="DH676" s="31"/>
      <c r="DI676" s="31"/>
      <c r="DJ676" s="31"/>
      <c r="DK676" s="31"/>
      <c r="DL676" s="31"/>
      <c r="DM676" s="31"/>
      <c r="DN676" s="31"/>
      <c r="DO676" s="31"/>
      <c r="DP676" s="31"/>
      <c r="DQ676" s="31"/>
      <c r="DR676" s="31"/>
      <c r="DS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  <c r="CX677" s="31"/>
      <c r="CY677" s="31"/>
      <c r="CZ677" s="31"/>
      <c r="DA677" s="31"/>
      <c r="DB677" s="31"/>
      <c r="DC677" s="31"/>
      <c r="DD677" s="31"/>
      <c r="DE677" s="31"/>
      <c r="DF677" s="31"/>
      <c r="DG677" s="31"/>
      <c r="DH677" s="31"/>
      <c r="DI677" s="31"/>
      <c r="DJ677" s="31"/>
      <c r="DK677" s="31"/>
      <c r="DL677" s="31"/>
      <c r="DM677" s="31"/>
      <c r="DN677" s="31"/>
      <c r="DO677" s="31"/>
      <c r="DP677" s="31"/>
      <c r="DQ677" s="31"/>
      <c r="DR677" s="31"/>
      <c r="DS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  <c r="CX678" s="31"/>
      <c r="CY678" s="31"/>
      <c r="CZ678" s="31"/>
      <c r="DA678" s="31"/>
      <c r="DB678" s="31"/>
      <c r="DC678" s="31"/>
      <c r="DD678" s="31"/>
      <c r="DE678" s="31"/>
      <c r="DF678" s="31"/>
      <c r="DG678" s="31"/>
      <c r="DH678" s="31"/>
      <c r="DI678" s="31"/>
      <c r="DJ678" s="31"/>
      <c r="DK678" s="31"/>
      <c r="DL678" s="31"/>
      <c r="DM678" s="31"/>
      <c r="DN678" s="31"/>
      <c r="DO678" s="31"/>
      <c r="DP678" s="31"/>
      <c r="DQ678" s="31"/>
      <c r="DR678" s="31"/>
      <c r="DS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  <c r="CX679" s="31"/>
      <c r="CY679" s="31"/>
      <c r="CZ679" s="31"/>
      <c r="DA679" s="31"/>
      <c r="DB679" s="31"/>
      <c r="DC679" s="31"/>
      <c r="DD679" s="31"/>
      <c r="DE679" s="31"/>
      <c r="DF679" s="31"/>
      <c r="DG679" s="31"/>
      <c r="DH679" s="31"/>
      <c r="DI679" s="31"/>
      <c r="DJ679" s="31"/>
      <c r="DK679" s="31"/>
      <c r="DL679" s="31"/>
      <c r="DM679" s="31"/>
      <c r="DN679" s="31"/>
      <c r="DO679" s="31"/>
      <c r="DP679" s="31"/>
      <c r="DQ679" s="31"/>
      <c r="DR679" s="31"/>
      <c r="DS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  <c r="CX680" s="31"/>
      <c r="CY680" s="31"/>
      <c r="CZ680" s="31"/>
      <c r="DA680" s="31"/>
      <c r="DB680" s="31"/>
      <c r="DC680" s="31"/>
      <c r="DD680" s="31"/>
      <c r="DE680" s="31"/>
      <c r="DF680" s="31"/>
      <c r="DG680" s="31"/>
      <c r="DH680" s="31"/>
      <c r="DI680" s="31"/>
      <c r="DJ680" s="31"/>
      <c r="DK680" s="31"/>
      <c r="DL680" s="31"/>
      <c r="DM680" s="31"/>
      <c r="DN680" s="31"/>
      <c r="DO680" s="31"/>
      <c r="DP680" s="31"/>
      <c r="DQ680" s="31"/>
      <c r="DR680" s="31"/>
      <c r="DS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  <c r="CX681" s="31"/>
      <c r="CY681" s="31"/>
      <c r="CZ681" s="31"/>
      <c r="DA681" s="31"/>
      <c r="DB681" s="31"/>
      <c r="DC681" s="31"/>
      <c r="DD681" s="31"/>
      <c r="DE681" s="31"/>
      <c r="DF681" s="31"/>
      <c r="DG681" s="31"/>
      <c r="DH681" s="31"/>
      <c r="DI681" s="31"/>
      <c r="DJ681" s="31"/>
      <c r="DK681" s="31"/>
      <c r="DL681" s="31"/>
      <c r="DM681" s="31"/>
      <c r="DN681" s="31"/>
      <c r="DO681" s="31"/>
      <c r="DP681" s="31"/>
      <c r="DQ681" s="31"/>
      <c r="DR681" s="31"/>
      <c r="DS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  <c r="CX682" s="31"/>
      <c r="CY682" s="31"/>
      <c r="CZ682" s="31"/>
      <c r="DA682" s="31"/>
      <c r="DB682" s="31"/>
      <c r="DC682" s="31"/>
      <c r="DD682" s="31"/>
      <c r="DE682" s="31"/>
      <c r="DF682" s="31"/>
      <c r="DG682" s="31"/>
      <c r="DH682" s="31"/>
      <c r="DI682" s="31"/>
      <c r="DJ682" s="31"/>
      <c r="DK682" s="31"/>
      <c r="DL682" s="31"/>
      <c r="DM682" s="31"/>
      <c r="DN682" s="31"/>
      <c r="DO682" s="31"/>
      <c r="DP682" s="31"/>
      <c r="DQ682" s="31"/>
      <c r="DR682" s="31"/>
      <c r="DS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  <c r="CX683" s="31"/>
      <c r="CY683" s="31"/>
      <c r="CZ683" s="31"/>
      <c r="DA683" s="31"/>
      <c r="DB683" s="31"/>
      <c r="DC683" s="31"/>
      <c r="DD683" s="31"/>
      <c r="DE683" s="31"/>
      <c r="DF683" s="31"/>
      <c r="DG683" s="31"/>
      <c r="DH683" s="31"/>
      <c r="DI683" s="31"/>
      <c r="DJ683" s="31"/>
      <c r="DK683" s="31"/>
      <c r="DL683" s="31"/>
      <c r="DM683" s="31"/>
      <c r="DN683" s="31"/>
      <c r="DO683" s="31"/>
      <c r="DP683" s="31"/>
      <c r="DQ683" s="31"/>
      <c r="DR683" s="31"/>
      <c r="DS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  <c r="CX684" s="31"/>
      <c r="CY684" s="31"/>
      <c r="CZ684" s="31"/>
      <c r="DA684" s="31"/>
      <c r="DB684" s="31"/>
      <c r="DC684" s="31"/>
      <c r="DD684" s="31"/>
      <c r="DE684" s="31"/>
      <c r="DF684" s="31"/>
      <c r="DG684" s="31"/>
      <c r="DH684" s="31"/>
      <c r="DI684" s="31"/>
      <c r="DJ684" s="31"/>
      <c r="DK684" s="31"/>
      <c r="DL684" s="31"/>
      <c r="DM684" s="31"/>
      <c r="DN684" s="31"/>
      <c r="DO684" s="31"/>
      <c r="DP684" s="31"/>
      <c r="DQ684" s="31"/>
      <c r="DR684" s="31"/>
      <c r="DS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  <c r="CX685" s="31"/>
      <c r="CY685" s="31"/>
      <c r="CZ685" s="31"/>
      <c r="DA685" s="31"/>
      <c r="DB685" s="31"/>
      <c r="DC685" s="31"/>
      <c r="DD685" s="31"/>
      <c r="DE685" s="31"/>
      <c r="DF685" s="31"/>
      <c r="DG685" s="31"/>
      <c r="DH685" s="31"/>
      <c r="DI685" s="31"/>
      <c r="DJ685" s="31"/>
      <c r="DK685" s="31"/>
      <c r="DL685" s="31"/>
      <c r="DM685" s="31"/>
      <c r="DN685" s="31"/>
      <c r="DO685" s="31"/>
      <c r="DP685" s="31"/>
      <c r="DQ685" s="31"/>
      <c r="DR685" s="31"/>
      <c r="DS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  <c r="CX686" s="31"/>
      <c r="CY686" s="31"/>
      <c r="CZ686" s="31"/>
      <c r="DA686" s="31"/>
      <c r="DB686" s="31"/>
      <c r="DC686" s="31"/>
      <c r="DD686" s="31"/>
      <c r="DE686" s="31"/>
      <c r="DF686" s="31"/>
      <c r="DG686" s="31"/>
      <c r="DH686" s="31"/>
      <c r="DI686" s="31"/>
      <c r="DJ686" s="31"/>
      <c r="DK686" s="31"/>
      <c r="DL686" s="31"/>
      <c r="DM686" s="31"/>
      <c r="DN686" s="31"/>
      <c r="DO686" s="31"/>
      <c r="DP686" s="31"/>
      <c r="DQ686" s="31"/>
      <c r="DR686" s="31"/>
      <c r="DS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  <c r="CX687" s="31"/>
      <c r="CY687" s="31"/>
      <c r="CZ687" s="31"/>
      <c r="DA687" s="31"/>
      <c r="DB687" s="31"/>
      <c r="DC687" s="31"/>
      <c r="DD687" s="31"/>
      <c r="DE687" s="31"/>
      <c r="DF687" s="31"/>
      <c r="DG687" s="31"/>
      <c r="DH687" s="31"/>
      <c r="DI687" s="31"/>
      <c r="DJ687" s="31"/>
      <c r="DK687" s="31"/>
      <c r="DL687" s="31"/>
      <c r="DM687" s="31"/>
      <c r="DN687" s="31"/>
      <c r="DO687" s="31"/>
      <c r="DP687" s="31"/>
      <c r="DQ687" s="31"/>
      <c r="DR687" s="31"/>
      <c r="DS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  <c r="CX688" s="31"/>
      <c r="CY688" s="31"/>
      <c r="CZ688" s="31"/>
      <c r="DA688" s="31"/>
      <c r="DB688" s="31"/>
      <c r="DC688" s="31"/>
      <c r="DD688" s="31"/>
      <c r="DE688" s="31"/>
      <c r="DF688" s="31"/>
      <c r="DG688" s="31"/>
      <c r="DH688" s="31"/>
      <c r="DI688" s="31"/>
      <c r="DJ688" s="31"/>
      <c r="DK688" s="31"/>
      <c r="DL688" s="31"/>
      <c r="DM688" s="31"/>
      <c r="DN688" s="31"/>
      <c r="DO688" s="31"/>
      <c r="DP688" s="31"/>
      <c r="DQ688" s="31"/>
      <c r="DR688" s="31"/>
      <c r="DS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  <c r="CX689" s="31"/>
      <c r="CY689" s="31"/>
      <c r="CZ689" s="31"/>
      <c r="DA689" s="31"/>
      <c r="DB689" s="31"/>
      <c r="DC689" s="31"/>
      <c r="DD689" s="31"/>
      <c r="DE689" s="31"/>
      <c r="DF689" s="31"/>
      <c r="DG689" s="31"/>
      <c r="DH689" s="31"/>
      <c r="DI689" s="31"/>
      <c r="DJ689" s="31"/>
      <c r="DK689" s="31"/>
      <c r="DL689" s="31"/>
      <c r="DM689" s="31"/>
      <c r="DN689" s="31"/>
      <c r="DO689" s="31"/>
      <c r="DP689" s="31"/>
      <c r="DQ689" s="31"/>
      <c r="DR689" s="31"/>
      <c r="DS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  <c r="CX690" s="31"/>
      <c r="CY690" s="31"/>
      <c r="CZ690" s="31"/>
      <c r="DA690" s="31"/>
      <c r="DB690" s="31"/>
      <c r="DC690" s="31"/>
      <c r="DD690" s="31"/>
      <c r="DE690" s="31"/>
      <c r="DF690" s="31"/>
      <c r="DG690" s="31"/>
      <c r="DH690" s="31"/>
      <c r="DI690" s="31"/>
      <c r="DJ690" s="31"/>
      <c r="DK690" s="31"/>
      <c r="DL690" s="31"/>
      <c r="DM690" s="31"/>
      <c r="DN690" s="31"/>
      <c r="DO690" s="31"/>
      <c r="DP690" s="31"/>
      <c r="DQ690" s="31"/>
      <c r="DR690" s="31"/>
      <c r="DS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  <c r="DC691" s="31"/>
      <c r="DD691" s="31"/>
      <c r="DE691" s="31"/>
      <c r="DF691" s="31"/>
      <c r="DG691" s="31"/>
      <c r="DH691" s="31"/>
      <c r="DI691" s="31"/>
      <c r="DJ691" s="31"/>
      <c r="DK691" s="31"/>
      <c r="DL691" s="31"/>
      <c r="DM691" s="31"/>
      <c r="DN691" s="31"/>
      <c r="DO691" s="31"/>
      <c r="DP691" s="31"/>
      <c r="DQ691" s="31"/>
      <c r="DR691" s="31"/>
      <c r="DS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  <c r="DC692" s="31"/>
      <c r="DD692" s="31"/>
      <c r="DE692" s="31"/>
      <c r="DF692" s="31"/>
      <c r="DG692" s="31"/>
      <c r="DH692" s="31"/>
      <c r="DI692" s="31"/>
      <c r="DJ692" s="31"/>
      <c r="DK692" s="31"/>
      <c r="DL692" s="31"/>
      <c r="DM692" s="31"/>
      <c r="DN692" s="31"/>
      <c r="DO692" s="31"/>
      <c r="DP692" s="31"/>
      <c r="DQ692" s="31"/>
      <c r="DR692" s="31"/>
      <c r="DS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  <c r="CX693" s="31"/>
      <c r="CY693" s="31"/>
      <c r="CZ693" s="31"/>
      <c r="DA693" s="31"/>
      <c r="DB693" s="31"/>
      <c r="DC693" s="31"/>
      <c r="DD693" s="31"/>
      <c r="DE693" s="31"/>
      <c r="DF693" s="31"/>
      <c r="DG693" s="31"/>
      <c r="DH693" s="31"/>
      <c r="DI693" s="31"/>
      <c r="DJ693" s="31"/>
      <c r="DK693" s="31"/>
      <c r="DL693" s="31"/>
      <c r="DM693" s="31"/>
      <c r="DN693" s="31"/>
      <c r="DO693" s="31"/>
      <c r="DP693" s="31"/>
      <c r="DQ693" s="31"/>
      <c r="DR693" s="31"/>
      <c r="DS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  <c r="DC694" s="31"/>
      <c r="DD694" s="31"/>
      <c r="DE694" s="31"/>
      <c r="DF694" s="31"/>
      <c r="DG694" s="31"/>
      <c r="DH694" s="31"/>
      <c r="DI694" s="31"/>
      <c r="DJ694" s="31"/>
      <c r="DK694" s="31"/>
      <c r="DL694" s="31"/>
      <c r="DM694" s="31"/>
      <c r="DN694" s="31"/>
      <c r="DO694" s="31"/>
      <c r="DP694" s="31"/>
      <c r="DQ694" s="31"/>
      <c r="DR694" s="31"/>
      <c r="DS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  <c r="DC695" s="31"/>
      <c r="DD695" s="31"/>
      <c r="DE695" s="31"/>
      <c r="DF695" s="31"/>
      <c r="DG695" s="31"/>
      <c r="DH695" s="31"/>
      <c r="DI695" s="31"/>
      <c r="DJ695" s="31"/>
      <c r="DK695" s="31"/>
      <c r="DL695" s="31"/>
      <c r="DM695" s="31"/>
      <c r="DN695" s="31"/>
      <c r="DO695" s="31"/>
      <c r="DP695" s="31"/>
      <c r="DQ695" s="31"/>
      <c r="DR695" s="31"/>
      <c r="DS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  <c r="DC696" s="31"/>
      <c r="DD696" s="31"/>
      <c r="DE696" s="31"/>
      <c r="DF696" s="31"/>
      <c r="DG696" s="31"/>
      <c r="DH696" s="31"/>
      <c r="DI696" s="31"/>
      <c r="DJ696" s="31"/>
      <c r="DK696" s="31"/>
      <c r="DL696" s="31"/>
      <c r="DM696" s="31"/>
      <c r="DN696" s="31"/>
      <c r="DO696" s="31"/>
      <c r="DP696" s="31"/>
      <c r="DQ696" s="31"/>
      <c r="DR696" s="31"/>
      <c r="DS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  <c r="DC697" s="31"/>
      <c r="DD697" s="31"/>
      <c r="DE697" s="31"/>
      <c r="DF697" s="31"/>
      <c r="DG697" s="31"/>
      <c r="DH697" s="31"/>
      <c r="DI697" s="31"/>
      <c r="DJ697" s="31"/>
      <c r="DK697" s="31"/>
      <c r="DL697" s="31"/>
      <c r="DM697" s="31"/>
      <c r="DN697" s="31"/>
      <c r="DO697" s="31"/>
      <c r="DP697" s="31"/>
      <c r="DQ697" s="31"/>
      <c r="DR697" s="31"/>
      <c r="DS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  <c r="DC698" s="31"/>
      <c r="DD698" s="31"/>
      <c r="DE698" s="31"/>
      <c r="DF698" s="31"/>
      <c r="DG698" s="31"/>
      <c r="DH698" s="31"/>
      <c r="DI698" s="31"/>
      <c r="DJ698" s="31"/>
      <c r="DK698" s="31"/>
      <c r="DL698" s="31"/>
      <c r="DM698" s="31"/>
      <c r="DN698" s="31"/>
      <c r="DO698" s="31"/>
      <c r="DP698" s="31"/>
      <c r="DQ698" s="31"/>
      <c r="DR698" s="31"/>
      <c r="DS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  <c r="DC699" s="31"/>
      <c r="DD699" s="31"/>
      <c r="DE699" s="31"/>
      <c r="DF699" s="31"/>
      <c r="DG699" s="31"/>
      <c r="DH699" s="31"/>
      <c r="DI699" s="31"/>
      <c r="DJ699" s="31"/>
      <c r="DK699" s="31"/>
      <c r="DL699" s="31"/>
      <c r="DM699" s="31"/>
      <c r="DN699" s="31"/>
      <c r="DO699" s="31"/>
      <c r="DP699" s="31"/>
      <c r="DQ699" s="31"/>
      <c r="DR699" s="31"/>
      <c r="DS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  <c r="CX700" s="31"/>
      <c r="CY700" s="31"/>
      <c r="CZ700" s="31"/>
      <c r="DA700" s="31"/>
      <c r="DB700" s="31"/>
      <c r="DC700" s="31"/>
      <c r="DD700" s="31"/>
      <c r="DE700" s="31"/>
      <c r="DF700" s="31"/>
      <c r="DG700" s="31"/>
      <c r="DH700" s="31"/>
      <c r="DI700" s="31"/>
      <c r="DJ700" s="31"/>
      <c r="DK700" s="31"/>
      <c r="DL700" s="31"/>
      <c r="DM700" s="31"/>
      <c r="DN700" s="31"/>
      <c r="DO700" s="31"/>
      <c r="DP700" s="31"/>
      <c r="DQ700" s="31"/>
      <c r="DR700" s="31"/>
      <c r="DS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  <c r="DC701" s="31"/>
      <c r="DD701" s="31"/>
      <c r="DE701" s="31"/>
      <c r="DF701" s="31"/>
      <c r="DG701" s="31"/>
      <c r="DH701" s="31"/>
      <c r="DI701" s="31"/>
      <c r="DJ701" s="31"/>
      <c r="DK701" s="31"/>
      <c r="DL701" s="31"/>
      <c r="DM701" s="31"/>
      <c r="DN701" s="31"/>
      <c r="DO701" s="31"/>
      <c r="DP701" s="31"/>
      <c r="DQ701" s="31"/>
      <c r="DR701" s="31"/>
      <c r="DS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  <c r="CX702" s="31"/>
      <c r="CY702" s="31"/>
      <c r="CZ702" s="31"/>
      <c r="DA702" s="31"/>
      <c r="DB702" s="31"/>
      <c r="DC702" s="31"/>
      <c r="DD702" s="31"/>
      <c r="DE702" s="31"/>
      <c r="DF702" s="31"/>
      <c r="DG702" s="31"/>
      <c r="DH702" s="31"/>
      <c r="DI702" s="31"/>
      <c r="DJ702" s="31"/>
      <c r="DK702" s="31"/>
      <c r="DL702" s="31"/>
      <c r="DM702" s="31"/>
      <c r="DN702" s="31"/>
      <c r="DO702" s="31"/>
      <c r="DP702" s="31"/>
      <c r="DQ702" s="31"/>
      <c r="DR702" s="31"/>
      <c r="DS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  <c r="DC703" s="31"/>
      <c r="DD703" s="31"/>
      <c r="DE703" s="31"/>
      <c r="DF703" s="31"/>
      <c r="DG703" s="31"/>
      <c r="DH703" s="31"/>
      <c r="DI703" s="31"/>
      <c r="DJ703" s="31"/>
      <c r="DK703" s="31"/>
      <c r="DL703" s="31"/>
      <c r="DM703" s="31"/>
      <c r="DN703" s="31"/>
      <c r="DO703" s="31"/>
      <c r="DP703" s="31"/>
      <c r="DQ703" s="31"/>
      <c r="DR703" s="31"/>
      <c r="DS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  <c r="DC704" s="31"/>
      <c r="DD704" s="31"/>
      <c r="DE704" s="31"/>
      <c r="DF704" s="31"/>
      <c r="DG704" s="31"/>
      <c r="DH704" s="31"/>
      <c r="DI704" s="31"/>
      <c r="DJ704" s="31"/>
      <c r="DK704" s="31"/>
      <c r="DL704" s="31"/>
      <c r="DM704" s="31"/>
      <c r="DN704" s="31"/>
      <c r="DO704" s="31"/>
      <c r="DP704" s="31"/>
      <c r="DQ704" s="31"/>
      <c r="DR704" s="31"/>
      <c r="DS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  <c r="CX705" s="31"/>
      <c r="CY705" s="31"/>
      <c r="CZ705" s="31"/>
      <c r="DA705" s="31"/>
      <c r="DB705" s="31"/>
      <c r="DC705" s="31"/>
      <c r="DD705" s="31"/>
      <c r="DE705" s="31"/>
      <c r="DF705" s="31"/>
      <c r="DG705" s="31"/>
      <c r="DH705" s="31"/>
      <c r="DI705" s="31"/>
      <c r="DJ705" s="31"/>
      <c r="DK705" s="31"/>
      <c r="DL705" s="31"/>
      <c r="DM705" s="31"/>
      <c r="DN705" s="31"/>
      <c r="DO705" s="31"/>
      <c r="DP705" s="31"/>
      <c r="DQ705" s="31"/>
      <c r="DR705" s="31"/>
      <c r="DS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  <c r="DC706" s="31"/>
      <c r="DD706" s="31"/>
      <c r="DE706" s="31"/>
      <c r="DF706" s="31"/>
      <c r="DG706" s="31"/>
      <c r="DH706" s="31"/>
      <c r="DI706" s="31"/>
      <c r="DJ706" s="31"/>
      <c r="DK706" s="31"/>
      <c r="DL706" s="31"/>
      <c r="DM706" s="31"/>
      <c r="DN706" s="31"/>
      <c r="DO706" s="31"/>
      <c r="DP706" s="31"/>
      <c r="DQ706" s="31"/>
      <c r="DR706" s="31"/>
      <c r="DS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  <c r="DC707" s="31"/>
      <c r="DD707" s="31"/>
      <c r="DE707" s="31"/>
      <c r="DF707" s="31"/>
      <c r="DG707" s="31"/>
      <c r="DH707" s="31"/>
      <c r="DI707" s="31"/>
      <c r="DJ707" s="31"/>
      <c r="DK707" s="31"/>
      <c r="DL707" s="31"/>
      <c r="DM707" s="31"/>
      <c r="DN707" s="31"/>
      <c r="DO707" s="31"/>
      <c r="DP707" s="31"/>
      <c r="DQ707" s="31"/>
      <c r="DR707" s="31"/>
      <c r="DS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  <c r="DC708" s="31"/>
      <c r="DD708" s="31"/>
      <c r="DE708" s="31"/>
      <c r="DF708" s="31"/>
      <c r="DG708" s="31"/>
      <c r="DH708" s="31"/>
      <c r="DI708" s="31"/>
      <c r="DJ708" s="31"/>
      <c r="DK708" s="31"/>
      <c r="DL708" s="31"/>
      <c r="DM708" s="31"/>
      <c r="DN708" s="31"/>
      <c r="DO708" s="31"/>
      <c r="DP708" s="31"/>
      <c r="DQ708" s="31"/>
      <c r="DR708" s="31"/>
      <c r="DS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  <c r="DC709" s="31"/>
      <c r="DD709" s="31"/>
      <c r="DE709" s="31"/>
      <c r="DF709" s="31"/>
      <c r="DG709" s="31"/>
      <c r="DH709" s="31"/>
      <c r="DI709" s="31"/>
      <c r="DJ709" s="31"/>
      <c r="DK709" s="31"/>
      <c r="DL709" s="31"/>
      <c r="DM709" s="31"/>
      <c r="DN709" s="31"/>
      <c r="DO709" s="31"/>
      <c r="DP709" s="31"/>
      <c r="DQ709" s="31"/>
      <c r="DR709" s="31"/>
      <c r="DS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  <c r="CX710" s="31"/>
      <c r="CY710" s="31"/>
      <c r="CZ710" s="31"/>
      <c r="DA710" s="31"/>
      <c r="DB710" s="31"/>
      <c r="DC710" s="31"/>
      <c r="DD710" s="31"/>
      <c r="DE710" s="31"/>
      <c r="DF710" s="31"/>
      <c r="DG710" s="31"/>
      <c r="DH710" s="31"/>
      <c r="DI710" s="31"/>
      <c r="DJ710" s="31"/>
      <c r="DK710" s="31"/>
      <c r="DL710" s="31"/>
      <c r="DM710" s="31"/>
      <c r="DN710" s="31"/>
      <c r="DO710" s="31"/>
      <c r="DP710" s="31"/>
      <c r="DQ710" s="31"/>
      <c r="DR710" s="31"/>
      <c r="DS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  <c r="DC711" s="31"/>
      <c r="DD711" s="31"/>
      <c r="DE711" s="31"/>
      <c r="DF711" s="31"/>
      <c r="DG711" s="31"/>
      <c r="DH711" s="31"/>
      <c r="DI711" s="31"/>
      <c r="DJ711" s="31"/>
      <c r="DK711" s="31"/>
      <c r="DL711" s="31"/>
      <c r="DM711" s="31"/>
      <c r="DN711" s="31"/>
      <c r="DO711" s="31"/>
      <c r="DP711" s="31"/>
      <c r="DQ711" s="31"/>
      <c r="DR711" s="31"/>
      <c r="DS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  <c r="CX712" s="31"/>
      <c r="CY712" s="31"/>
      <c r="CZ712" s="31"/>
      <c r="DA712" s="31"/>
      <c r="DB712" s="31"/>
      <c r="DC712" s="31"/>
      <c r="DD712" s="31"/>
      <c r="DE712" s="31"/>
      <c r="DF712" s="31"/>
      <c r="DG712" s="31"/>
      <c r="DH712" s="31"/>
      <c r="DI712" s="31"/>
      <c r="DJ712" s="31"/>
      <c r="DK712" s="31"/>
      <c r="DL712" s="31"/>
      <c r="DM712" s="31"/>
      <c r="DN712" s="31"/>
      <c r="DO712" s="31"/>
      <c r="DP712" s="31"/>
      <c r="DQ712" s="31"/>
      <c r="DR712" s="31"/>
      <c r="DS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  <c r="DC713" s="31"/>
      <c r="DD713" s="31"/>
      <c r="DE713" s="31"/>
      <c r="DF713" s="31"/>
      <c r="DG713" s="31"/>
      <c r="DH713" s="31"/>
      <c r="DI713" s="31"/>
      <c r="DJ713" s="31"/>
      <c r="DK713" s="31"/>
      <c r="DL713" s="31"/>
      <c r="DM713" s="31"/>
      <c r="DN713" s="31"/>
      <c r="DO713" s="31"/>
      <c r="DP713" s="31"/>
      <c r="DQ713" s="31"/>
      <c r="DR713" s="31"/>
      <c r="DS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  <c r="DC714" s="31"/>
      <c r="DD714" s="31"/>
      <c r="DE714" s="31"/>
      <c r="DF714" s="31"/>
      <c r="DG714" s="31"/>
      <c r="DH714" s="31"/>
      <c r="DI714" s="31"/>
      <c r="DJ714" s="31"/>
      <c r="DK714" s="31"/>
      <c r="DL714" s="31"/>
      <c r="DM714" s="31"/>
      <c r="DN714" s="31"/>
      <c r="DO714" s="31"/>
      <c r="DP714" s="31"/>
      <c r="DQ714" s="31"/>
      <c r="DR714" s="31"/>
      <c r="DS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  <c r="CX715" s="31"/>
      <c r="CY715" s="31"/>
      <c r="CZ715" s="31"/>
      <c r="DA715" s="31"/>
      <c r="DB715" s="31"/>
      <c r="DC715" s="31"/>
      <c r="DD715" s="31"/>
      <c r="DE715" s="31"/>
      <c r="DF715" s="31"/>
      <c r="DG715" s="31"/>
      <c r="DH715" s="31"/>
      <c r="DI715" s="31"/>
      <c r="DJ715" s="31"/>
      <c r="DK715" s="31"/>
      <c r="DL715" s="31"/>
      <c r="DM715" s="31"/>
      <c r="DN715" s="31"/>
      <c r="DO715" s="31"/>
      <c r="DP715" s="31"/>
      <c r="DQ715" s="31"/>
      <c r="DR715" s="31"/>
      <c r="DS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  <c r="DC716" s="31"/>
      <c r="DD716" s="31"/>
      <c r="DE716" s="31"/>
      <c r="DF716" s="31"/>
      <c r="DG716" s="31"/>
      <c r="DH716" s="31"/>
      <c r="DI716" s="31"/>
      <c r="DJ716" s="31"/>
      <c r="DK716" s="31"/>
      <c r="DL716" s="31"/>
      <c r="DM716" s="31"/>
      <c r="DN716" s="31"/>
      <c r="DO716" s="31"/>
      <c r="DP716" s="31"/>
      <c r="DQ716" s="31"/>
      <c r="DR716" s="31"/>
      <c r="DS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  <c r="CX717" s="31"/>
      <c r="CY717" s="31"/>
      <c r="CZ717" s="31"/>
      <c r="DA717" s="31"/>
      <c r="DB717" s="31"/>
      <c r="DC717" s="31"/>
      <c r="DD717" s="31"/>
      <c r="DE717" s="31"/>
      <c r="DF717" s="31"/>
      <c r="DG717" s="31"/>
      <c r="DH717" s="31"/>
      <c r="DI717" s="31"/>
      <c r="DJ717" s="31"/>
      <c r="DK717" s="31"/>
      <c r="DL717" s="31"/>
      <c r="DM717" s="31"/>
      <c r="DN717" s="31"/>
      <c r="DO717" s="31"/>
      <c r="DP717" s="31"/>
      <c r="DQ717" s="31"/>
      <c r="DR717" s="31"/>
      <c r="DS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  <c r="DC718" s="31"/>
      <c r="DD718" s="31"/>
      <c r="DE718" s="31"/>
      <c r="DF718" s="31"/>
      <c r="DG718" s="31"/>
      <c r="DH718" s="31"/>
      <c r="DI718" s="31"/>
      <c r="DJ718" s="31"/>
      <c r="DK718" s="31"/>
      <c r="DL718" s="31"/>
      <c r="DM718" s="31"/>
      <c r="DN718" s="31"/>
      <c r="DO718" s="31"/>
      <c r="DP718" s="31"/>
      <c r="DQ718" s="31"/>
      <c r="DR718" s="31"/>
      <c r="DS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  <c r="CX719" s="31"/>
      <c r="CY719" s="31"/>
      <c r="CZ719" s="31"/>
      <c r="DA719" s="31"/>
      <c r="DB719" s="31"/>
      <c r="DC719" s="31"/>
      <c r="DD719" s="31"/>
      <c r="DE719" s="31"/>
      <c r="DF719" s="31"/>
      <c r="DG719" s="31"/>
      <c r="DH719" s="31"/>
      <c r="DI719" s="31"/>
      <c r="DJ719" s="31"/>
      <c r="DK719" s="31"/>
      <c r="DL719" s="31"/>
      <c r="DM719" s="31"/>
      <c r="DN719" s="31"/>
      <c r="DO719" s="31"/>
      <c r="DP719" s="31"/>
      <c r="DQ719" s="31"/>
      <c r="DR719" s="31"/>
      <c r="DS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  <c r="DI720" s="31"/>
      <c r="DJ720" s="31"/>
      <c r="DK720" s="31"/>
      <c r="DL720" s="31"/>
      <c r="DM720" s="31"/>
      <c r="DN720" s="31"/>
      <c r="DO720" s="31"/>
      <c r="DP720" s="31"/>
      <c r="DQ720" s="31"/>
      <c r="DR720" s="31"/>
      <c r="DS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  <c r="CX721" s="31"/>
      <c r="CY721" s="31"/>
      <c r="CZ721" s="31"/>
      <c r="DA721" s="31"/>
      <c r="DB721" s="31"/>
      <c r="DC721" s="31"/>
      <c r="DD721" s="31"/>
      <c r="DE721" s="31"/>
      <c r="DF721" s="31"/>
      <c r="DG721" s="31"/>
      <c r="DH721" s="31"/>
      <c r="DI721" s="31"/>
      <c r="DJ721" s="31"/>
      <c r="DK721" s="31"/>
      <c r="DL721" s="31"/>
      <c r="DM721" s="31"/>
      <c r="DN721" s="31"/>
      <c r="DO721" s="31"/>
      <c r="DP721" s="31"/>
      <c r="DQ721" s="31"/>
      <c r="DR721" s="31"/>
      <c r="DS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  <c r="DC722" s="31"/>
      <c r="DD722" s="31"/>
      <c r="DE722" s="31"/>
      <c r="DF722" s="31"/>
      <c r="DG722" s="31"/>
      <c r="DH722" s="31"/>
      <c r="DI722" s="31"/>
      <c r="DJ722" s="31"/>
      <c r="DK722" s="31"/>
      <c r="DL722" s="31"/>
      <c r="DM722" s="31"/>
      <c r="DN722" s="31"/>
      <c r="DO722" s="31"/>
      <c r="DP722" s="31"/>
      <c r="DQ722" s="31"/>
      <c r="DR722" s="31"/>
      <c r="DS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  <c r="CX723" s="31"/>
      <c r="CY723" s="31"/>
      <c r="CZ723" s="31"/>
      <c r="DA723" s="31"/>
      <c r="DB723" s="31"/>
      <c r="DC723" s="31"/>
      <c r="DD723" s="31"/>
      <c r="DE723" s="31"/>
      <c r="DF723" s="31"/>
      <c r="DG723" s="31"/>
      <c r="DH723" s="31"/>
      <c r="DI723" s="31"/>
      <c r="DJ723" s="31"/>
      <c r="DK723" s="31"/>
      <c r="DL723" s="31"/>
      <c r="DM723" s="31"/>
      <c r="DN723" s="31"/>
      <c r="DO723" s="31"/>
      <c r="DP723" s="31"/>
      <c r="DQ723" s="31"/>
      <c r="DR723" s="31"/>
      <c r="DS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  <c r="CX724" s="31"/>
      <c r="CY724" s="31"/>
      <c r="CZ724" s="31"/>
      <c r="DA724" s="31"/>
      <c r="DB724" s="31"/>
      <c r="DC724" s="31"/>
      <c r="DD724" s="31"/>
      <c r="DE724" s="31"/>
      <c r="DF724" s="31"/>
      <c r="DG724" s="31"/>
      <c r="DH724" s="31"/>
      <c r="DI724" s="31"/>
      <c r="DJ724" s="31"/>
      <c r="DK724" s="31"/>
      <c r="DL724" s="31"/>
      <c r="DM724" s="31"/>
      <c r="DN724" s="31"/>
      <c r="DO724" s="31"/>
      <c r="DP724" s="31"/>
      <c r="DQ724" s="31"/>
      <c r="DR724" s="31"/>
      <c r="DS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  <c r="DC725" s="31"/>
      <c r="DD725" s="31"/>
      <c r="DE725" s="31"/>
      <c r="DF725" s="31"/>
      <c r="DG725" s="31"/>
      <c r="DH725" s="31"/>
      <c r="DI725" s="31"/>
      <c r="DJ725" s="31"/>
      <c r="DK725" s="31"/>
      <c r="DL725" s="31"/>
      <c r="DM725" s="31"/>
      <c r="DN725" s="31"/>
      <c r="DO725" s="31"/>
      <c r="DP725" s="31"/>
      <c r="DQ725" s="31"/>
      <c r="DR725" s="31"/>
      <c r="DS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  <c r="CX726" s="31"/>
      <c r="CY726" s="31"/>
      <c r="CZ726" s="31"/>
      <c r="DA726" s="31"/>
      <c r="DB726" s="31"/>
      <c r="DC726" s="31"/>
      <c r="DD726" s="31"/>
      <c r="DE726" s="31"/>
      <c r="DF726" s="31"/>
      <c r="DG726" s="31"/>
      <c r="DH726" s="31"/>
      <c r="DI726" s="31"/>
      <c r="DJ726" s="31"/>
      <c r="DK726" s="31"/>
      <c r="DL726" s="31"/>
      <c r="DM726" s="31"/>
      <c r="DN726" s="31"/>
      <c r="DO726" s="31"/>
      <c r="DP726" s="31"/>
      <c r="DQ726" s="31"/>
      <c r="DR726" s="31"/>
      <c r="DS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  <c r="CX727" s="31"/>
      <c r="CY727" s="31"/>
      <c r="CZ727" s="31"/>
      <c r="DA727" s="31"/>
      <c r="DB727" s="31"/>
      <c r="DC727" s="31"/>
      <c r="DD727" s="31"/>
      <c r="DE727" s="31"/>
      <c r="DF727" s="31"/>
      <c r="DG727" s="31"/>
      <c r="DH727" s="31"/>
      <c r="DI727" s="31"/>
      <c r="DJ727" s="31"/>
      <c r="DK727" s="31"/>
      <c r="DL727" s="31"/>
      <c r="DM727" s="31"/>
      <c r="DN727" s="31"/>
      <c r="DO727" s="31"/>
      <c r="DP727" s="31"/>
      <c r="DQ727" s="31"/>
      <c r="DR727" s="31"/>
      <c r="DS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  <c r="DC728" s="31"/>
      <c r="DD728" s="31"/>
      <c r="DE728" s="31"/>
      <c r="DF728" s="31"/>
      <c r="DG728" s="31"/>
      <c r="DH728" s="31"/>
      <c r="DI728" s="31"/>
      <c r="DJ728" s="31"/>
      <c r="DK728" s="31"/>
      <c r="DL728" s="31"/>
      <c r="DM728" s="31"/>
      <c r="DN728" s="31"/>
      <c r="DO728" s="31"/>
      <c r="DP728" s="31"/>
      <c r="DQ728" s="31"/>
      <c r="DR728" s="31"/>
      <c r="DS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  <c r="CX729" s="31"/>
      <c r="CY729" s="31"/>
      <c r="CZ729" s="31"/>
      <c r="DA729" s="31"/>
      <c r="DB729" s="31"/>
      <c r="DC729" s="31"/>
      <c r="DD729" s="31"/>
      <c r="DE729" s="31"/>
      <c r="DF729" s="31"/>
      <c r="DG729" s="31"/>
      <c r="DH729" s="31"/>
      <c r="DI729" s="31"/>
      <c r="DJ729" s="31"/>
      <c r="DK729" s="31"/>
      <c r="DL729" s="31"/>
      <c r="DM729" s="31"/>
      <c r="DN729" s="31"/>
      <c r="DO729" s="31"/>
      <c r="DP729" s="31"/>
      <c r="DQ729" s="31"/>
      <c r="DR729" s="31"/>
      <c r="DS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  <c r="DC730" s="31"/>
      <c r="DD730" s="31"/>
      <c r="DE730" s="31"/>
      <c r="DF730" s="31"/>
      <c r="DG730" s="31"/>
      <c r="DH730" s="31"/>
      <c r="DI730" s="31"/>
      <c r="DJ730" s="31"/>
      <c r="DK730" s="31"/>
      <c r="DL730" s="31"/>
      <c r="DM730" s="31"/>
      <c r="DN730" s="31"/>
      <c r="DO730" s="31"/>
      <c r="DP730" s="31"/>
      <c r="DQ730" s="31"/>
      <c r="DR730" s="31"/>
      <c r="DS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  <c r="DC731" s="31"/>
      <c r="DD731" s="31"/>
      <c r="DE731" s="31"/>
      <c r="DF731" s="31"/>
      <c r="DG731" s="31"/>
      <c r="DH731" s="31"/>
      <c r="DI731" s="31"/>
      <c r="DJ731" s="31"/>
      <c r="DK731" s="31"/>
      <c r="DL731" s="31"/>
      <c r="DM731" s="31"/>
      <c r="DN731" s="31"/>
      <c r="DO731" s="31"/>
      <c r="DP731" s="31"/>
      <c r="DQ731" s="31"/>
      <c r="DR731" s="31"/>
      <c r="DS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  <c r="DC732" s="31"/>
      <c r="DD732" s="31"/>
      <c r="DE732" s="31"/>
      <c r="DF732" s="31"/>
      <c r="DG732" s="31"/>
      <c r="DH732" s="31"/>
      <c r="DI732" s="31"/>
      <c r="DJ732" s="31"/>
      <c r="DK732" s="31"/>
      <c r="DL732" s="31"/>
      <c r="DM732" s="31"/>
      <c r="DN732" s="31"/>
      <c r="DO732" s="31"/>
      <c r="DP732" s="31"/>
      <c r="DQ732" s="31"/>
      <c r="DR732" s="31"/>
      <c r="DS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  <c r="DC733" s="31"/>
      <c r="DD733" s="31"/>
      <c r="DE733" s="31"/>
      <c r="DF733" s="31"/>
      <c r="DG733" s="31"/>
      <c r="DH733" s="31"/>
      <c r="DI733" s="31"/>
      <c r="DJ733" s="31"/>
      <c r="DK733" s="31"/>
      <c r="DL733" s="31"/>
      <c r="DM733" s="31"/>
      <c r="DN733" s="31"/>
      <c r="DO733" s="31"/>
      <c r="DP733" s="31"/>
      <c r="DQ733" s="31"/>
      <c r="DR733" s="31"/>
      <c r="DS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  <c r="DC734" s="31"/>
      <c r="DD734" s="31"/>
      <c r="DE734" s="31"/>
      <c r="DF734" s="31"/>
      <c r="DG734" s="31"/>
      <c r="DH734" s="31"/>
      <c r="DI734" s="31"/>
      <c r="DJ734" s="31"/>
      <c r="DK734" s="31"/>
      <c r="DL734" s="31"/>
      <c r="DM734" s="31"/>
      <c r="DN734" s="31"/>
      <c r="DO734" s="31"/>
      <c r="DP734" s="31"/>
      <c r="DQ734" s="31"/>
      <c r="DR734" s="31"/>
      <c r="DS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  <c r="DC735" s="31"/>
      <c r="DD735" s="31"/>
      <c r="DE735" s="31"/>
      <c r="DF735" s="31"/>
      <c r="DG735" s="31"/>
      <c r="DH735" s="31"/>
      <c r="DI735" s="31"/>
      <c r="DJ735" s="31"/>
      <c r="DK735" s="31"/>
      <c r="DL735" s="31"/>
      <c r="DM735" s="31"/>
      <c r="DN735" s="31"/>
      <c r="DO735" s="31"/>
      <c r="DP735" s="31"/>
      <c r="DQ735" s="31"/>
      <c r="DR735" s="31"/>
      <c r="DS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  <c r="DC736" s="31"/>
      <c r="DD736" s="31"/>
      <c r="DE736" s="31"/>
      <c r="DF736" s="31"/>
      <c r="DG736" s="31"/>
      <c r="DH736" s="31"/>
      <c r="DI736" s="31"/>
      <c r="DJ736" s="31"/>
      <c r="DK736" s="31"/>
      <c r="DL736" s="31"/>
      <c r="DM736" s="31"/>
      <c r="DN736" s="31"/>
      <c r="DO736" s="31"/>
      <c r="DP736" s="31"/>
      <c r="DQ736" s="31"/>
      <c r="DR736" s="31"/>
      <c r="DS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  <c r="DC737" s="31"/>
      <c r="DD737" s="31"/>
      <c r="DE737" s="31"/>
      <c r="DF737" s="31"/>
      <c r="DG737" s="31"/>
      <c r="DH737" s="31"/>
      <c r="DI737" s="31"/>
      <c r="DJ737" s="31"/>
      <c r="DK737" s="31"/>
      <c r="DL737" s="31"/>
      <c r="DM737" s="31"/>
      <c r="DN737" s="31"/>
      <c r="DO737" s="31"/>
      <c r="DP737" s="31"/>
      <c r="DQ737" s="31"/>
      <c r="DR737" s="31"/>
      <c r="DS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  <c r="DC738" s="31"/>
      <c r="DD738" s="31"/>
      <c r="DE738" s="31"/>
      <c r="DF738" s="31"/>
      <c r="DG738" s="31"/>
      <c r="DH738" s="31"/>
      <c r="DI738" s="31"/>
      <c r="DJ738" s="31"/>
      <c r="DK738" s="31"/>
      <c r="DL738" s="31"/>
      <c r="DM738" s="31"/>
      <c r="DN738" s="31"/>
      <c r="DO738" s="31"/>
      <c r="DP738" s="31"/>
      <c r="DQ738" s="31"/>
      <c r="DR738" s="31"/>
      <c r="DS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  <c r="CX739" s="31"/>
      <c r="CY739" s="31"/>
      <c r="CZ739" s="31"/>
      <c r="DA739" s="31"/>
      <c r="DB739" s="31"/>
      <c r="DC739" s="31"/>
      <c r="DD739" s="31"/>
      <c r="DE739" s="31"/>
      <c r="DF739" s="31"/>
      <c r="DG739" s="31"/>
      <c r="DH739" s="31"/>
      <c r="DI739" s="31"/>
      <c r="DJ739" s="31"/>
      <c r="DK739" s="31"/>
      <c r="DL739" s="31"/>
      <c r="DM739" s="31"/>
      <c r="DN739" s="31"/>
      <c r="DO739" s="31"/>
      <c r="DP739" s="31"/>
      <c r="DQ739" s="31"/>
      <c r="DR739" s="31"/>
      <c r="DS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  <c r="DC740" s="31"/>
      <c r="DD740" s="31"/>
      <c r="DE740" s="31"/>
      <c r="DF740" s="31"/>
      <c r="DG740" s="31"/>
      <c r="DH740" s="31"/>
      <c r="DI740" s="31"/>
      <c r="DJ740" s="31"/>
      <c r="DK740" s="31"/>
      <c r="DL740" s="31"/>
      <c r="DM740" s="31"/>
      <c r="DN740" s="31"/>
      <c r="DO740" s="31"/>
      <c r="DP740" s="31"/>
      <c r="DQ740" s="31"/>
      <c r="DR740" s="31"/>
      <c r="DS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  <c r="CX741" s="31"/>
      <c r="CY741" s="31"/>
      <c r="CZ741" s="31"/>
      <c r="DA741" s="31"/>
      <c r="DB741" s="31"/>
      <c r="DC741" s="31"/>
      <c r="DD741" s="31"/>
      <c r="DE741" s="31"/>
      <c r="DF741" s="31"/>
      <c r="DG741" s="31"/>
      <c r="DH741" s="31"/>
      <c r="DI741" s="31"/>
      <c r="DJ741" s="31"/>
      <c r="DK741" s="31"/>
      <c r="DL741" s="31"/>
      <c r="DM741" s="31"/>
      <c r="DN741" s="31"/>
      <c r="DO741" s="31"/>
      <c r="DP741" s="31"/>
      <c r="DQ741" s="31"/>
      <c r="DR741" s="31"/>
      <c r="DS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  <c r="DC742" s="31"/>
      <c r="DD742" s="31"/>
      <c r="DE742" s="31"/>
      <c r="DF742" s="31"/>
      <c r="DG742" s="31"/>
      <c r="DH742" s="31"/>
      <c r="DI742" s="31"/>
      <c r="DJ742" s="31"/>
      <c r="DK742" s="31"/>
      <c r="DL742" s="31"/>
      <c r="DM742" s="31"/>
      <c r="DN742" s="31"/>
      <c r="DO742" s="31"/>
      <c r="DP742" s="31"/>
      <c r="DQ742" s="31"/>
      <c r="DR742" s="31"/>
      <c r="DS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  <c r="CX743" s="31"/>
      <c r="CY743" s="31"/>
      <c r="CZ743" s="31"/>
      <c r="DA743" s="31"/>
      <c r="DB743" s="31"/>
      <c r="DC743" s="31"/>
      <c r="DD743" s="31"/>
      <c r="DE743" s="31"/>
      <c r="DF743" s="31"/>
      <c r="DG743" s="31"/>
      <c r="DH743" s="31"/>
      <c r="DI743" s="31"/>
      <c r="DJ743" s="31"/>
      <c r="DK743" s="31"/>
      <c r="DL743" s="31"/>
      <c r="DM743" s="31"/>
      <c r="DN743" s="31"/>
      <c r="DO743" s="31"/>
      <c r="DP743" s="31"/>
      <c r="DQ743" s="31"/>
      <c r="DR743" s="31"/>
      <c r="DS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  <c r="CX744" s="31"/>
      <c r="CY744" s="31"/>
      <c r="CZ744" s="31"/>
      <c r="DA744" s="31"/>
      <c r="DB744" s="31"/>
      <c r="DC744" s="31"/>
      <c r="DD744" s="31"/>
      <c r="DE744" s="31"/>
      <c r="DF744" s="31"/>
      <c r="DG744" s="31"/>
      <c r="DH744" s="31"/>
      <c r="DI744" s="31"/>
      <c r="DJ744" s="31"/>
      <c r="DK744" s="31"/>
      <c r="DL744" s="31"/>
      <c r="DM744" s="31"/>
      <c r="DN744" s="31"/>
      <c r="DO744" s="31"/>
      <c r="DP744" s="31"/>
      <c r="DQ744" s="31"/>
      <c r="DR744" s="31"/>
      <c r="DS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  <c r="DI745" s="31"/>
      <c r="DJ745" s="31"/>
      <c r="DK745" s="31"/>
      <c r="DL745" s="31"/>
      <c r="DM745" s="31"/>
      <c r="DN745" s="31"/>
      <c r="DO745" s="31"/>
      <c r="DP745" s="31"/>
      <c r="DQ745" s="31"/>
      <c r="DR745" s="31"/>
      <c r="DS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  <c r="CX746" s="31"/>
      <c r="CY746" s="31"/>
      <c r="CZ746" s="31"/>
      <c r="DA746" s="31"/>
      <c r="DB746" s="31"/>
      <c r="DC746" s="31"/>
      <c r="DD746" s="31"/>
      <c r="DE746" s="31"/>
      <c r="DF746" s="31"/>
      <c r="DG746" s="31"/>
      <c r="DH746" s="31"/>
      <c r="DI746" s="31"/>
      <c r="DJ746" s="31"/>
      <c r="DK746" s="31"/>
      <c r="DL746" s="31"/>
      <c r="DM746" s="31"/>
      <c r="DN746" s="31"/>
      <c r="DO746" s="31"/>
      <c r="DP746" s="31"/>
      <c r="DQ746" s="31"/>
      <c r="DR746" s="31"/>
      <c r="DS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  <c r="DI747" s="31"/>
      <c r="DJ747" s="31"/>
      <c r="DK747" s="31"/>
      <c r="DL747" s="31"/>
      <c r="DM747" s="31"/>
      <c r="DN747" s="31"/>
      <c r="DO747" s="31"/>
      <c r="DP747" s="31"/>
      <c r="DQ747" s="31"/>
      <c r="DR747" s="31"/>
      <c r="DS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  <c r="DC748" s="31"/>
      <c r="DD748" s="31"/>
      <c r="DE748" s="31"/>
      <c r="DF748" s="31"/>
      <c r="DG748" s="31"/>
      <c r="DH748" s="31"/>
      <c r="DI748" s="31"/>
      <c r="DJ748" s="31"/>
      <c r="DK748" s="31"/>
      <c r="DL748" s="31"/>
      <c r="DM748" s="31"/>
      <c r="DN748" s="31"/>
      <c r="DO748" s="31"/>
      <c r="DP748" s="31"/>
      <c r="DQ748" s="31"/>
      <c r="DR748" s="31"/>
      <c r="DS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  <c r="DI749" s="31"/>
      <c r="DJ749" s="31"/>
      <c r="DK749" s="31"/>
      <c r="DL749" s="31"/>
      <c r="DM749" s="31"/>
      <c r="DN749" s="31"/>
      <c r="DO749" s="31"/>
      <c r="DP749" s="31"/>
      <c r="DQ749" s="31"/>
      <c r="DR749" s="31"/>
      <c r="DS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  <c r="DC750" s="31"/>
      <c r="DD750" s="31"/>
      <c r="DE750" s="31"/>
      <c r="DF750" s="31"/>
      <c r="DG750" s="31"/>
      <c r="DH750" s="31"/>
      <c r="DI750" s="31"/>
      <c r="DJ750" s="31"/>
      <c r="DK750" s="31"/>
      <c r="DL750" s="31"/>
      <c r="DM750" s="31"/>
      <c r="DN750" s="31"/>
      <c r="DO750" s="31"/>
      <c r="DP750" s="31"/>
      <c r="DQ750" s="31"/>
      <c r="DR750" s="31"/>
      <c r="DS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  <c r="DI751" s="31"/>
      <c r="DJ751" s="31"/>
      <c r="DK751" s="31"/>
      <c r="DL751" s="31"/>
      <c r="DM751" s="31"/>
      <c r="DN751" s="31"/>
      <c r="DO751" s="31"/>
      <c r="DP751" s="31"/>
      <c r="DQ751" s="31"/>
      <c r="DR751" s="31"/>
      <c r="DS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  <c r="DC752" s="31"/>
      <c r="DD752" s="31"/>
      <c r="DE752" s="31"/>
      <c r="DF752" s="31"/>
      <c r="DG752" s="31"/>
      <c r="DH752" s="31"/>
      <c r="DI752" s="31"/>
      <c r="DJ752" s="31"/>
      <c r="DK752" s="31"/>
      <c r="DL752" s="31"/>
      <c r="DM752" s="31"/>
      <c r="DN752" s="31"/>
      <c r="DO752" s="31"/>
      <c r="DP752" s="31"/>
      <c r="DQ752" s="31"/>
      <c r="DR752" s="31"/>
      <c r="DS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  <c r="DC753" s="31"/>
      <c r="DD753" s="31"/>
      <c r="DE753" s="31"/>
      <c r="DF753" s="31"/>
      <c r="DG753" s="31"/>
      <c r="DH753" s="31"/>
      <c r="DI753" s="31"/>
      <c r="DJ753" s="31"/>
      <c r="DK753" s="31"/>
      <c r="DL753" s="31"/>
      <c r="DM753" s="31"/>
      <c r="DN753" s="31"/>
      <c r="DO753" s="31"/>
      <c r="DP753" s="31"/>
      <c r="DQ753" s="31"/>
      <c r="DR753" s="31"/>
      <c r="DS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  <c r="DC754" s="31"/>
      <c r="DD754" s="31"/>
      <c r="DE754" s="31"/>
      <c r="DF754" s="31"/>
      <c r="DG754" s="31"/>
      <c r="DH754" s="31"/>
      <c r="DI754" s="31"/>
      <c r="DJ754" s="31"/>
      <c r="DK754" s="31"/>
      <c r="DL754" s="31"/>
      <c r="DM754" s="31"/>
      <c r="DN754" s="31"/>
      <c r="DO754" s="31"/>
      <c r="DP754" s="31"/>
      <c r="DQ754" s="31"/>
      <c r="DR754" s="31"/>
      <c r="DS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  <c r="CX755" s="31"/>
      <c r="CY755" s="31"/>
      <c r="CZ755" s="31"/>
      <c r="DA755" s="31"/>
      <c r="DB755" s="31"/>
      <c r="DC755" s="31"/>
      <c r="DD755" s="31"/>
      <c r="DE755" s="31"/>
      <c r="DF755" s="31"/>
      <c r="DG755" s="31"/>
      <c r="DH755" s="31"/>
      <c r="DI755" s="31"/>
      <c r="DJ755" s="31"/>
      <c r="DK755" s="31"/>
      <c r="DL755" s="31"/>
      <c r="DM755" s="31"/>
      <c r="DN755" s="31"/>
      <c r="DO755" s="31"/>
      <c r="DP755" s="31"/>
      <c r="DQ755" s="31"/>
      <c r="DR755" s="31"/>
      <c r="DS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  <c r="CX756" s="31"/>
      <c r="CY756" s="31"/>
      <c r="CZ756" s="31"/>
      <c r="DA756" s="31"/>
      <c r="DB756" s="31"/>
      <c r="DC756" s="31"/>
      <c r="DD756" s="31"/>
      <c r="DE756" s="31"/>
      <c r="DF756" s="31"/>
      <c r="DG756" s="31"/>
      <c r="DH756" s="31"/>
      <c r="DI756" s="31"/>
      <c r="DJ756" s="31"/>
      <c r="DK756" s="31"/>
      <c r="DL756" s="31"/>
      <c r="DM756" s="31"/>
      <c r="DN756" s="31"/>
      <c r="DO756" s="31"/>
      <c r="DP756" s="31"/>
      <c r="DQ756" s="31"/>
      <c r="DR756" s="31"/>
      <c r="DS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  <c r="CX757" s="31"/>
      <c r="CY757" s="31"/>
      <c r="CZ757" s="31"/>
      <c r="DA757" s="31"/>
      <c r="DB757" s="31"/>
      <c r="DC757" s="31"/>
      <c r="DD757" s="31"/>
      <c r="DE757" s="31"/>
      <c r="DF757" s="31"/>
      <c r="DG757" s="31"/>
      <c r="DH757" s="31"/>
      <c r="DI757" s="31"/>
      <c r="DJ757" s="31"/>
      <c r="DK757" s="31"/>
      <c r="DL757" s="31"/>
      <c r="DM757" s="31"/>
      <c r="DN757" s="31"/>
      <c r="DO757" s="31"/>
      <c r="DP757" s="31"/>
      <c r="DQ757" s="31"/>
      <c r="DR757" s="31"/>
      <c r="DS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  <c r="CX758" s="31"/>
      <c r="CY758" s="31"/>
      <c r="CZ758" s="31"/>
      <c r="DA758" s="31"/>
      <c r="DB758" s="31"/>
      <c r="DC758" s="31"/>
      <c r="DD758" s="31"/>
      <c r="DE758" s="31"/>
      <c r="DF758" s="31"/>
      <c r="DG758" s="31"/>
      <c r="DH758" s="31"/>
      <c r="DI758" s="31"/>
      <c r="DJ758" s="31"/>
      <c r="DK758" s="31"/>
      <c r="DL758" s="31"/>
      <c r="DM758" s="31"/>
      <c r="DN758" s="31"/>
      <c r="DO758" s="31"/>
      <c r="DP758" s="31"/>
      <c r="DQ758" s="31"/>
      <c r="DR758" s="31"/>
      <c r="DS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  <c r="CX759" s="31"/>
      <c r="CY759" s="31"/>
      <c r="CZ759" s="31"/>
      <c r="DA759" s="31"/>
      <c r="DB759" s="31"/>
      <c r="DC759" s="31"/>
      <c r="DD759" s="31"/>
      <c r="DE759" s="31"/>
      <c r="DF759" s="31"/>
      <c r="DG759" s="31"/>
      <c r="DH759" s="31"/>
      <c r="DI759" s="31"/>
      <c r="DJ759" s="31"/>
      <c r="DK759" s="31"/>
      <c r="DL759" s="31"/>
      <c r="DM759" s="31"/>
      <c r="DN759" s="31"/>
      <c r="DO759" s="31"/>
      <c r="DP759" s="31"/>
      <c r="DQ759" s="31"/>
      <c r="DR759" s="31"/>
      <c r="DS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  <c r="CX760" s="31"/>
      <c r="CY760" s="31"/>
      <c r="CZ760" s="31"/>
      <c r="DA760" s="31"/>
      <c r="DB760" s="31"/>
      <c r="DC760" s="31"/>
      <c r="DD760" s="31"/>
      <c r="DE760" s="31"/>
      <c r="DF760" s="31"/>
      <c r="DG760" s="31"/>
      <c r="DH760" s="31"/>
      <c r="DI760" s="31"/>
      <c r="DJ760" s="31"/>
      <c r="DK760" s="31"/>
      <c r="DL760" s="31"/>
      <c r="DM760" s="31"/>
      <c r="DN760" s="31"/>
      <c r="DO760" s="31"/>
      <c r="DP760" s="31"/>
      <c r="DQ760" s="31"/>
      <c r="DR760" s="31"/>
      <c r="DS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  <c r="CX761" s="31"/>
      <c r="CY761" s="31"/>
      <c r="CZ761" s="31"/>
      <c r="DA761" s="31"/>
      <c r="DB761" s="31"/>
      <c r="DC761" s="31"/>
      <c r="DD761" s="31"/>
      <c r="DE761" s="31"/>
      <c r="DF761" s="31"/>
      <c r="DG761" s="31"/>
      <c r="DH761" s="31"/>
      <c r="DI761" s="31"/>
      <c r="DJ761" s="31"/>
      <c r="DK761" s="31"/>
      <c r="DL761" s="31"/>
      <c r="DM761" s="31"/>
      <c r="DN761" s="31"/>
      <c r="DO761" s="31"/>
      <c r="DP761" s="31"/>
      <c r="DQ761" s="31"/>
      <c r="DR761" s="31"/>
      <c r="DS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  <c r="CX762" s="31"/>
      <c r="CY762" s="31"/>
      <c r="CZ762" s="31"/>
      <c r="DA762" s="31"/>
      <c r="DB762" s="31"/>
      <c r="DC762" s="31"/>
      <c r="DD762" s="31"/>
      <c r="DE762" s="31"/>
      <c r="DF762" s="31"/>
      <c r="DG762" s="31"/>
      <c r="DH762" s="31"/>
      <c r="DI762" s="31"/>
      <c r="DJ762" s="31"/>
      <c r="DK762" s="31"/>
      <c r="DL762" s="31"/>
      <c r="DM762" s="31"/>
      <c r="DN762" s="31"/>
      <c r="DO762" s="31"/>
      <c r="DP762" s="31"/>
      <c r="DQ762" s="31"/>
      <c r="DR762" s="31"/>
      <c r="DS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  <c r="CX763" s="31"/>
      <c r="CY763" s="31"/>
      <c r="CZ763" s="31"/>
      <c r="DA763" s="31"/>
      <c r="DB763" s="31"/>
      <c r="DC763" s="31"/>
      <c r="DD763" s="31"/>
      <c r="DE763" s="31"/>
      <c r="DF763" s="31"/>
      <c r="DG763" s="31"/>
      <c r="DH763" s="31"/>
      <c r="DI763" s="31"/>
      <c r="DJ763" s="31"/>
      <c r="DK763" s="31"/>
      <c r="DL763" s="31"/>
      <c r="DM763" s="31"/>
      <c r="DN763" s="31"/>
      <c r="DO763" s="31"/>
      <c r="DP763" s="31"/>
      <c r="DQ763" s="31"/>
      <c r="DR763" s="31"/>
      <c r="DS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  <c r="CX764" s="31"/>
      <c r="CY764" s="31"/>
      <c r="CZ764" s="31"/>
      <c r="DA764" s="31"/>
      <c r="DB764" s="31"/>
      <c r="DC764" s="31"/>
      <c r="DD764" s="31"/>
      <c r="DE764" s="31"/>
      <c r="DF764" s="31"/>
      <c r="DG764" s="31"/>
      <c r="DH764" s="31"/>
      <c r="DI764" s="31"/>
      <c r="DJ764" s="31"/>
      <c r="DK764" s="31"/>
      <c r="DL764" s="31"/>
      <c r="DM764" s="31"/>
      <c r="DN764" s="31"/>
      <c r="DO764" s="31"/>
      <c r="DP764" s="31"/>
      <c r="DQ764" s="31"/>
      <c r="DR764" s="31"/>
      <c r="DS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  <c r="CX765" s="31"/>
      <c r="CY765" s="31"/>
      <c r="CZ765" s="31"/>
      <c r="DA765" s="31"/>
      <c r="DB765" s="31"/>
      <c r="DC765" s="31"/>
      <c r="DD765" s="31"/>
      <c r="DE765" s="31"/>
      <c r="DF765" s="31"/>
      <c r="DG765" s="31"/>
      <c r="DH765" s="31"/>
      <c r="DI765" s="31"/>
      <c r="DJ765" s="31"/>
      <c r="DK765" s="31"/>
      <c r="DL765" s="31"/>
      <c r="DM765" s="31"/>
      <c r="DN765" s="31"/>
      <c r="DO765" s="31"/>
      <c r="DP765" s="31"/>
      <c r="DQ765" s="31"/>
      <c r="DR765" s="31"/>
      <c r="DS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  <c r="CX766" s="31"/>
      <c r="CY766" s="31"/>
      <c r="CZ766" s="31"/>
      <c r="DA766" s="31"/>
      <c r="DB766" s="31"/>
      <c r="DC766" s="31"/>
      <c r="DD766" s="31"/>
      <c r="DE766" s="31"/>
      <c r="DF766" s="31"/>
      <c r="DG766" s="31"/>
      <c r="DH766" s="31"/>
      <c r="DI766" s="31"/>
      <c r="DJ766" s="31"/>
      <c r="DK766" s="31"/>
      <c r="DL766" s="31"/>
      <c r="DM766" s="31"/>
      <c r="DN766" s="31"/>
      <c r="DO766" s="31"/>
      <c r="DP766" s="31"/>
      <c r="DQ766" s="31"/>
      <c r="DR766" s="31"/>
      <c r="DS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  <c r="CX767" s="31"/>
      <c r="CY767" s="31"/>
      <c r="CZ767" s="31"/>
      <c r="DA767" s="31"/>
      <c r="DB767" s="31"/>
      <c r="DC767" s="31"/>
      <c r="DD767" s="31"/>
      <c r="DE767" s="31"/>
      <c r="DF767" s="31"/>
      <c r="DG767" s="31"/>
      <c r="DH767" s="31"/>
      <c r="DI767" s="31"/>
      <c r="DJ767" s="31"/>
      <c r="DK767" s="31"/>
      <c r="DL767" s="31"/>
      <c r="DM767" s="31"/>
      <c r="DN767" s="31"/>
      <c r="DO767" s="31"/>
      <c r="DP767" s="31"/>
      <c r="DQ767" s="31"/>
      <c r="DR767" s="31"/>
      <c r="DS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  <c r="CX768" s="31"/>
      <c r="CY768" s="31"/>
      <c r="CZ768" s="31"/>
      <c r="DA768" s="31"/>
      <c r="DB768" s="31"/>
      <c r="DC768" s="31"/>
      <c r="DD768" s="31"/>
      <c r="DE768" s="31"/>
      <c r="DF768" s="31"/>
      <c r="DG768" s="31"/>
      <c r="DH768" s="31"/>
      <c r="DI768" s="31"/>
      <c r="DJ768" s="31"/>
      <c r="DK768" s="31"/>
      <c r="DL768" s="31"/>
      <c r="DM768" s="31"/>
      <c r="DN768" s="31"/>
      <c r="DO768" s="31"/>
      <c r="DP768" s="31"/>
      <c r="DQ768" s="31"/>
      <c r="DR768" s="31"/>
      <c r="DS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  <c r="CX769" s="31"/>
      <c r="CY769" s="31"/>
      <c r="CZ769" s="31"/>
      <c r="DA769" s="31"/>
      <c r="DB769" s="31"/>
      <c r="DC769" s="31"/>
      <c r="DD769" s="31"/>
      <c r="DE769" s="31"/>
      <c r="DF769" s="31"/>
      <c r="DG769" s="31"/>
      <c r="DH769" s="31"/>
      <c r="DI769" s="31"/>
      <c r="DJ769" s="31"/>
      <c r="DK769" s="31"/>
      <c r="DL769" s="31"/>
      <c r="DM769" s="31"/>
      <c r="DN769" s="31"/>
      <c r="DO769" s="31"/>
      <c r="DP769" s="31"/>
      <c r="DQ769" s="31"/>
      <c r="DR769" s="31"/>
      <c r="DS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  <c r="CX770" s="31"/>
      <c r="CY770" s="31"/>
      <c r="CZ770" s="31"/>
      <c r="DA770" s="31"/>
      <c r="DB770" s="31"/>
      <c r="DC770" s="31"/>
      <c r="DD770" s="31"/>
      <c r="DE770" s="31"/>
      <c r="DF770" s="31"/>
      <c r="DG770" s="31"/>
      <c r="DH770" s="31"/>
      <c r="DI770" s="31"/>
      <c r="DJ770" s="31"/>
      <c r="DK770" s="31"/>
      <c r="DL770" s="31"/>
      <c r="DM770" s="31"/>
      <c r="DN770" s="31"/>
      <c r="DO770" s="31"/>
      <c r="DP770" s="31"/>
      <c r="DQ770" s="31"/>
      <c r="DR770" s="31"/>
      <c r="DS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  <c r="CX771" s="31"/>
      <c r="CY771" s="31"/>
      <c r="CZ771" s="31"/>
      <c r="DA771" s="31"/>
      <c r="DB771" s="31"/>
      <c r="DC771" s="31"/>
      <c r="DD771" s="31"/>
      <c r="DE771" s="31"/>
      <c r="DF771" s="31"/>
      <c r="DG771" s="31"/>
      <c r="DH771" s="31"/>
      <c r="DI771" s="31"/>
      <c r="DJ771" s="31"/>
      <c r="DK771" s="31"/>
      <c r="DL771" s="31"/>
      <c r="DM771" s="31"/>
      <c r="DN771" s="31"/>
      <c r="DO771" s="31"/>
      <c r="DP771" s="31"/>
      <c r="DQ771" s="31"/>
      <c r="DR771" s="31"/>
      <c r="DS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  <c r="DI772" s="31"/>
      <c r="DJ772" s="31"/>
      <c r="DK772" s="31"/>
      <c r="DL772" s="31"/>
      <c r="DM772" s="31"/>
      <c r="DN772" s="31"/>
      <c r="DO772" s="31"/>
      <c r="DP772" s="31"/>
      <c r="DQ772" s="31"/>
      <c r="DR772" s="31"/>
      <c r="DS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  <c r="DC773" s="31"/>
      <c r="DD773" s="31"/>
      <c r="DE773" s="31"/>
      <c r="DF773" s="31"/>
      <c r="DG773" s="31"/>
      <c r="DH773" s="31"/>
      <c r="DI773" s="31"/>
      <c r="DJ773" s="31"/>
      <c r="DK773" s="31"/>
      <c r="DL773" s="31"/>
      <c r="DM773" s="31"/>
      <c r="DN773" s="31"/>
      <c r="DO773" s="31"/>
      <c r="DP773" s="31"/>
      <c r="DQ773" s="31"/>
      <c r="DR773" s="31"/>
      <c r="DS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  <c r="DC774" s="31"/>
      <c r="DD774" s="31"/>
      <c r="DE774" s="31"/>
      <c r="DF774" s="31"/>
      <c r="DG774" s="31"/>
      <c r="DH774" s="31"/>
      <c r="DI774" s="31"/>
      <c r="DJ774" s="31"/>
      <c r="DK774" s="31"/>
      <c r="DL774" s="31"/>
      <c r="DM774" s="31"/>
      <c r="DN774" s="31"/>
      <c r="DO774" s="31"/>
      <c r="DP774" s="31"/>
      <c r="DQ774" s="31"/>
      <c r="DR774" s="31"/>
      <c r="DS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  <c r="CX775" s="31"/>
      <c r="CY775" s="31"/>
      <c r="CZ775" s="31"/>
      <c r="DA775" s="31"/>
      <c r="DB775" s="31"/>
      <c r="DC775" s="31"/>
      <c r="DD775" s="31"/>
      <c r="DE775" s="31"/>
      <c r="DF775" s="31"/>
      <c r="DG775" s="31"/>
      <c r="DH775" s="31"/>
      <c r="DI775" s="31"/>
      <c r="DJ775" s="31"/>
      <c r="DK775" s="31"/>
      <c r="DL775" s="31"/>
      <c r="DM775" s="31"/>
      <c r="DN775" s="31"/>
      <c r="DO775" s="31"/>
      <c r="DP775" s="31"/>
      <c r="DQ775" s="31"/>
      <c r="DR775" s="31"/>
      <c r="DS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  <c r="DC776" s="31"/>
      <c r="DD776" s="31"/>
      <c r="DE776" s="31"/>
      <c r="DF776" s="31"/>
      <c r="DG776" s="31"/>
      <c r="DH776" s="31"/>
      <c r="DI776" s="31"/>
      <c r="DJ776" s="31"/>
      <c r="DK776" s="31"/>
      <c r="DL776" s="31"/>
      <c r="DM776" s="31"/>
      <c r="DN776" s="31"/>
      <c r="DO776" s="31"/>
      <c r="DP776" s="31"/>
      <c r="DQ776" s="31"/>
      <c r="DR776" s="31"/>
      <c r="DS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  <c r="DC777" s="31"/>
      <c r="DD777" s="31"/>
      <c r="DE777" s="31"/>
      <c r="DF777" s="31"/>
      <c r="DG777" s="31"/>
      <c r="DH777" s="31"/>
      <c r="DI777" s="31"/>
      <c r="DJ777" s="31"/>
      <c r="DK777" s="31"/>
      <c r="DL777" s="31"/>
      <c r="DM777" s="31"/>
      <c r="DN777" s="31"/>
      <c r="DO777" s="31"/>
      <c r="DP777" s="31"/>
      <c r="DQ777" s="31"/>
      <c r="DR777" s="31"/>
      <c r="DS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  <c r="DI778" s="31"/>
      <c r="DJ778" s="31"/>
      <c r="DK778" s="31"/>
      <c r="DL778" s="31"/>
      <c r="DM778" s="31"/>
      <c r="DN778" s="31"/>
      <c r="DO778" s="31"/>
      <c r="DP778" s="31"/>
      <c r="DQ778" s="31"/>
      <c r="DR778" s="31"/>
      <c r="DS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  <c r="DC779" s="31"/>
      <c r="DD779" s="31"/>
      <c r="DE779" s="31"/>
      <c r="DF779" s="31"/>
      <c r="DG779" s="31"/>
      <c r="DH779" s="31"/>
      <c r="DI779" s="31"/>
      <c r="DJ779" s="31"/>
      <c r="DK779" s="31"/>
      <c r="DL779" s="31"/>
      <c r="DM779" s="31"/>
      <c r="DN779" s="31"/>
      <c r="DO779" s="31"/>
      <c r="DP779" s="31"/>
      <c r="DQ779" s="31"/>
      <c r="DR779" s="31"/>
      <c r="DS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  <c r="DC780" s="31"/>
      <c r="DD780" s="31"/>
      <c r="DE780" s="31"/>
      <c r="DF780" s="31"/>
      <c r="DG780" s="31"/>
      <c r="DH780" s="31"/>
      <c r="DI780" s="31"/>
      <c r="DJ780" s="31"/>
      <c r="DK780" s="31"/>
      <c r="DL780" s="31"/>
      <c r="DM780" s="31"/>
      <c r="DN780" s="31"/>
      <c r="DO780" s="31"/>
      <c r="DP780" s="31"/>
      <c r="DQ780" s="31"/>
      <c r="DR780" s="31"/>
      <c r="DS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  <c r="DC781" s="31"/>
      <c r="DD781" s="31"/>
      <c r="DE781" s="31"/>
      <c r="DF781" s="31"/>
      <c r="DG781" s="31"/>
      <c r="DH781" s="31"/>
      <c r="DI781" s="31"/>
      <c r="DJ781" s="31"/>
      <c r="DK781" s="31"/>
      <c r="DL781" s="31"/>
      <c r="DM781" s="31"/>
      <c r="DN781" s="31"/>
      <c r="DO781" s="31"/>
      <c r="DP781" s="31"/>
      <c r="DQ781" s="31"/>
      <c r="DR781" s="31"/>
      <c r="DS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  <c r="DC782" s="31"/>
      <c r="DD782" s="31"/>
      <c r="DE782" s="31"/>
      <c r="DF782" s="31"/>
      <c r="DG782" s="31"/>
      <c r="DH782" s="31"/>
      <c r="DI782" s="31"/>
      <c r="DJ782" s="31"/>
      <c r="DK782" s="31"/>
      <c r="DL782" s="31"/>
      <c r="DM782" s="31"/>
      <c r="DN782" s="31"/>
      <c r="DO782" s="31"/>
      <c r="DP782" s="31"/>
      <c r="DQ782" s="31"/>
      <c r="DR782" s="31"/>
      <c r="DS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  <c r="DC783" s="31"/>
      <c r="DD783" s="31"/>
      <c r="DE783" s="31"/>
      <c r="DF783" s="31"/>
      <c r="DG783" s="31"/>
      <c r="DH783" s="31"/>
      <c r="DI783" s="31"/>
      <c r="DJ783" s="31"/>
      <c r="DK783" s="31"/>
      <c r="DL783" s="31"/>
      <c r="DM783" s="31"/>
      <c r="DN783" s="31"/>
      <c r="DO783" s="31"/>
      <c r="DP783" s="31"/>
      <c r="DQ783" s="31"/>
      <c r="DR783" s="31"/>
      <c r="DS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  <c r="DC784" s="31"/>
      <c r="DD784" s="31"/>
      <c r="DE784" s="31"/>
      <c r="DF784" s="31"/>
      <c r="DG784" s="31"/>
      <c r="DH784" s="31"/>
      <c r="DI784" s="31"/>
      <c r="DJ784" s="31"/>
      <c r="DK784" s="31"/>
      <c r="DL784" s="31"/>
      <c r="DM784" s="31"/>
      <c r="DN784" s="31"/>
      <c r="DO784" s="31"/>
      <c r="DP784" s="31"/>
      <c r="DQ784" s="31"/>
      <c r="DR784" s="31"/>
      <c r="DS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  <c r="DC785" s="31"/>
      <c r="DD785" s="31"/>
      <c r="DE785" s="31"/>
      <c r="DF785" s="31"/>
      <c r="DG785" s="31"/>
      <c r="DH785" s="31"/>
      <c r="DI785" s="31"/>
      <c r="DJ785" s="31"/>
      <c r="DK785" s="31"/>
      <c r="DL785" s="31"/>
      <c r="DM785" s="31"/>
      <c r="DN785" s="31"/>
      <c r="DO785" s="31"/>
      <c r="DP785" s="31"/>
      <c r="DQ785" s="31"/>
      <c r="DR785" s="31"/>
      <c r="DS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  <c r="CX786" s="31"/>
      <c r="CY786" s="31"/>
      <c r="CZ786" s="31"/>
      <c r="DA786" s="31"/>
      <c r="DB786" s="31"/>
      <c r="DC786" s="31"/>
      <c r="DD786" s="31"/>
      <c r="DE786" s="31"/>
      <c r="DF786" s="31"/>
      <c r="DG786" s="31"/>
      <c r="DH786" s="31"/>
      <c r="DI786" s="31"/>
      <c r="DJ786" s="31"/>
      <c r="DK786" s="31"/>
      <c r="DL786" s="31"/>
      <c r="DM786" s="31"/>
      <c r="DN786" s="31"/>
      <c r="DO786" s="31"/>
      <c r="DP786" s="31"/>
      <c r="DQ786" s="31"/>
      <c r="DR786" s="31"/>
      <c r="DS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  <c r="CX787" s="31"/>
      <c r="CY787" s="31"/>
      <c r="CZ787" s="31"/>
      <c r="DA787" s="31"/>
      <c r="DB787" s="31"/>
      <c r="DC787" s="31"/>
      <c r="DD787" s="31"/>
      <c r="DE787" s="31"/>
      <c r="DF787" s="31"/>
      <c r="DG787" s="31"/>
      <c r="DH787" s="31"/>
      <c r="DI787" s="31"/>
      <c r="DJ787" s="31"/>
      <c r="DK787" s="31"/>
      <c r="DL787" s="31"/>
      <c r="DM787" s="31"/>
      <c r="DN787" s="31"/>
      <c r="DO787" s="31"/>
      <c r="DP787" s="31"/>
      <c r="DQ787" s="31"/>
      <c r="DR787" s="31"/>
      <c r="DS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  <c r="CX788" s="31"/>
      <c r="CY788" s="31"/>
      <c r="CZ788" s="31"/>
      <c r="DA788" s="31"/>
      <c r="DB788" s="31"/>
      <c r="DC788" s="31"/>
      <c r="DD788" s="31"/>
      <c r="DE788" s="31"/>
      <c r="DF788" s="31"/>
      <c r="DG788" s="31"/>
      <c r="DH788" s="31"/>
      <c r="DI788" s="31"/>
      <c r="DJ788" s="31"/>
      <c r="DK788" s="31"/>
      <c r="DL788" s="31"/>
      <c r="DM788" s="31"/>
      <c r="DN788" s="31"/>
      <c r="DO788" s="31"/>
      <c r="DP788" s="31"/>
      <c r="DQ788" s="31"/>
      <c r="DR788" s="31"/>
      <c r="DS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  <c r="CX789" s="31"/>
      <c r="CY789" s="31"/>
      <c r="CZ789" s="31"/>
      <c r="DA789" s="31"/>
      <c r="DB789" s="31"/>
      <c r="DC789" s="31"/>
      <c r="DD789" s="31"/>
      <c r="DE789" s="31"/>
      <c r="DF789" s="31"/>
      <c r="DG789" s="31"/>
      <c r="DH789" s="31"/>
      <c r="DI789" s="31"/>
      <c r="DJ789" s="31"/>
      <c r="DK789" s="31"/>
      <c r="DL789" s="31"/>
      <c r="DM789" s="31"/>
      <c r="DN789" s="31"/>
      <c r="DO789" s="31"/>
      <c r="DP789" s="31"/>
      <c r="DQ789" s="31"/>
      <c r="DR789" s="31"/>
      <c r="DS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  <c r="DC790" s="31"/>
      <c r="DD790" s="31"/>
      <c r="DE790" s="31"/>
      <c r="DF790" s="31"/>
      <c r="DG790" s="31"/>
      <c r="DH790" s="31"/>
      <c r="DI790" s="31"/>
      <c r="DJ790" s="31"/>
      <c r="DK790" s="31"/>
      <c r="DL790" s="31"/>
      <c r="DM790" s="31"/>
      <c r="DN790" s="31"/>
      <c r="DO790" s="31"/>
      <c r="DP790" s="31"/>
      <c r="DQ790" s="31"/>
      <c r="DR790" s="31"/>
      <c r="DS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  <c r="CX791" s="31"/>
      <c r="CY791" s="31"/>
      <c r="CZ791" s="31"/>
      <c r="DA791" s="31"/>
      <c r="DB791" s="31"/>
      <c r="DC791" s="31"/>
      <c r="DD791" s="31"/>
      <c r="DE791" s="31"/>
      <c r="DF791" s="31"/>
      <c r="DG791" s="31"/>
      <c r="DH791" s="31"/>
      <c r="DI791" s="31"/>
      <c r="DJ791" s="31"/>
      <c r="DK791" s="31"/>
      <c r="DL791" s="31"/>
      <c r="DM791" s="31"/>
      <c r="DN791" s="31"/>
      <c r="DO791" s="31"/>
      <c r="DP791" s="31"/>
      <c r="DQ791" s="31"/>
      <c r="DR791" s="31"/>
      <c r="DS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  <c r="CX792" s="31"/>
      <c r="CY792" s="31"/>
      <c r="CZ792" s="31"/>
      <c r="DA792" s="31"/>
      <c r="DB792" s="31"/>
      <c r="DC792" s="31"/>
      <c r="DD792" s="31"/>
      <c r="DE792" s="31"/>
      <c r="DF792" s="31"/>
      <c r="DG792" s="31"/>
      <c r="DH792" s="31"/>
      <c r="DI792" s="31"/>
      <c r="DJ792" s="31"/>
      <c r="DK792" s="31"/>
      <c r="DL792" s="31"/>
      <c r="DM792" s="31"/>
      <c r="DN792" s="31"/>
      <c r="DO792" s="31"/>
      <c r="DP792" s="31"/>
      <c r="DQ792" s="31"/>
      <c r="DR792" s="31"/>
      <c r="DS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  <c r="CX793" s="31"/>
      <c r="CY793" s="31"/>
      <c r="CZ793" s="31"/>
      <c r="DA793" s="31"/>
      <c r="DB793" s="31"/>
      <c r="DC793" s="31"/>
      <c r="DD793" s="31"/>
      <c r="DE793" s="31"/>
      <c r="DF793" s="31"/>
      <c r="DG793" s="31"/>
      <c r="DH793" s="31"/>
      <c r="DI793" s="31"/>
      <c r="DJ793" s="31"/>
      <c r="DK793" s="31"/>
      <c r="DL793" s="31"/>
      <c r="DM793" s="31"/>
      <c r="DN793" s="31"/>
      <c r="DO793" s="31"/>
      <c r="DP793" s="31"/>
      <c r="DQ793" s="31"/>
      <c r="DR793" s="31"/>
      <c r="DS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  <c r="CX794" s="31"/>
      <c r="CY794" s="31"/>
      <c r="CZ794" s="31"/>
      <c r="DA794" s="31"/>
      <c r="DB794" s="31"/>
      <c r="DC794" s="31"/>
      <c r="DD794" s="31"/>
      <c r="DE794" s="31"/>
      <c r="DF794" s="31"/>
      <c r="DG794" s="31"/>
      <c r="DH794" s="31"/>
      <c r="DI794" s="31"/>
      <c r="DJ794" s="31"/>
      <c r="DK794" s="31"/>
      <c r="DL794" s="31"/>
      <c r="DM794" s="31"/>
      <c r="DN794" s="31"/>
      <c r="DO794" s="31"/>
      <c r="DP794" s="31"/>
      <c r="DQ794" s="31"/>
      <c r="DR794" s="31"/>
      <c r="DS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  <c r="CX795" s="31"/>
      <c r="CY795" s="31"/>
      <c r="CZ795" s="31"/>
      <c r="DA795" s="31"/>
      <c r="DB795" s="31"/>
      <c r="DC795" s="31"/>
      <c r="DD795" s="31"/>
      <c r="DE795" s="31"/>
      <c r="DF795" s="31"/>
      <c r="DG795" s="31"/>
      <c r="DH795" s="31"/>
      <c r="DI795" s="31"/>
      <c r="DJ795" s="31"/>
      <c r="DK795" s="31"/>
      <c r="DL795" s="31"/>
      <c r="DM795" s="31"/>
      <c r="DN795" s="31"/>
      <c r="DO795" s="31"/>
      <c r="DP795" s="31"/>
      <c r="DQ795" s="31"/>
      <c r="DR795" s="31"/>
      <c r="DS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  <c r="CX796" s="31"/>
      <c r="CY796" s="31"/>
      <c r="CZ796" s="31"/>
      <c r="DA796" s="31"/>
      <c r="DB796" s="31"/>
      <c r="DC796" s="31"/>
      <c r="DD796" s="31"/>
      <c r="DE796" s="31"/>
      <c r="DF796" s="31"/>
      <c r="DG796" s="31"/>
      <c r="DH796" s="31"/>
      <c r="DI796" s="31"/>
      <c r="DJ796" s="31"/>
      <c r="DK796" s="31"/>
      <c r="DL796" s="31"/>
      <c r="DM796" s="31"/>
      <c r="DN796" s="31"/>
      <c r="DO796" s="31"/>
      <c r="DP796" s="31"/>
      <c r="DQ796" s="31"/>
      <c r="DR796" s="31"/>
      <c r="DS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  <c r="CX797" s="31"/>
      <c r="CY797" s="31"/>
      <c r="CZ797" s="31"/>
      <c r="DA797" s="31"/>
      <c r="DB797" s="31"/>
      <c r="DC797" s="31"/>
      <c r="DD797" s="31"/>
      <c r="DE797" s="31"/>
      <c r="DF797" s="31"/>
      <c r="DG797" s="31"/>
      <c r="DH797" s="31"/>
      <c r="DI797" s="31"/>
      <c r="DJ797" s="31"/>
      <c r="DK797" s="31"/>
      <c r="DL797" s="31"/>
      <c r="DM797" s="31"/>
      <c r="DN797" s="31"/>
      <c r="DO797" s="31"/>
      <c r="DP797" s="31"/>
      <c r="DQ797" s="31"/>
      <c r="DR797" s="31"/>
      <c r="DS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  <c r="CX798" s="31"/>
      <c r="CY798" s="31"/>
      <c r="CZ798" s="31"/>
      <c r="DA798" s="31"/>
      <c r="DB798" s="31"/>
      <c r="DC798" s="31"/>
      <c r="DD798" s="31"/>
      <c r="DE798" s="31"/>
      <c r="DF798" s="31"/>
      <c r="DG798" s="31"/>
      <c r="DH798" s="31"/>
      <c r="DI798" s="31"/>
      <c r="DJ798" s="31"/>
      <c r="DK798" s="31"/>
      <c r="DL798" s="31"/>
      <c r="DM798" s="31"/>
      <c r="DN798" s="31"/>
      <c r="DO798" s="31"/>
      <c r="DP798" s="31"/>
      <c r="DQ798" s="31"/>
      <c r="DR798" s="31"/>
      <c r="DS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  <c r="CX799" s="31"/>
      <c r="CY799" s="31"/>
      <c r="CZ799" s="31"/>
      <c r="DA799" s="31"/>
      <c r="DB799" s="31"/>
      <c r="DC799" s="31"/>
      <c r="DD799" s="31"/>
      <c r="DE799" s="31"/>
      <c r="DF799" s="31"/>
      <c r="DG799" s="31"/>
      <c r="DH799" s="31"/>
      <c r="DI799" s="31"/>
      <c r="DJ799" s="31"/>
      <c r="DK799" s="31"/>
      <c r="DL799" s="31"/>
      <c r="DM799" s="31"/>
      <c r="DN799" s="31"/>
      <c r="DO799" s="31"/>
      <c r="DP799" s="31"/>
      <c r="DQ799" s="31"/>
      <c r="DR799" s="31"/>
      <c r="DS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  <c r="CX800" s="31"/>
      <c r="CY800" s="31"/>
      <c r="CZ800" s="31"/>
      <c r="DA800" s="31"/>
      <c r="DB800" s="31"/>
      <c r="DC800" s="31"/>
      <c r="DD800" s="31"/>
      <c r="DE800" s="31"/>
      <c r="DF800" s="31"/>
      <c r="DG800" s="31"/>
      <c r="DH800" s="31"/>
      <c r="DI800" s="31"/>
      <c r="DJ800" s="31"/>
      <c r="DK800" s="31"/>
      <c r="DL800" s="31"/>
      <c r="DM800" s="31"/>
      <c r="DN800" s="31"/>
      <c r="DO800" s="31"/>
      <c r="DP800" s="31"/>
      <c r="DQ800" s="31"/>
      <c r="DR800" s="31"/>
      <c r="DS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  <c r="CX801" s="31"/>
      <c r="CY801" s="31"/>
      <c r="CZ801" s="31"/>
      <c r="DA801" s="31"/>
      <c r="DB801" s="31"/>
      <c r="DC801" s="31"/>
      <c r="DD801" s="31"/>
      <c r="DE801" s="31"/>
      <c r="DF801" s="31"/>
      <c r="DG801" s="31"/>
      <c r="DH801" s="31"/>
      <c r="DI801" s="31"/>
      <c r="DJ801" s="31"/>
      <c r="DK801" s="31"/>
      <c r="DL801" s="31"/>
      <c r="DM801" s="31"/>
      <c r="DN801" s="31"/>
      <c r="DO801" s="31"/>
      <c r="DP801" s="31"/>
      <c r="DQ801" s="31"/>
      <c r="DR801" s="31"/>
      <c r="DS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  <c r="CX802" s="31"/>
      <c r="CY802" s="31"/>
      <c r="CZ802" s="31"/>
      <c r="DA802" s="31"/>
      <c r="DB802" s="31"/>
      <c r="DC802" s="31"/>
      <c r="DD802" s="31"/>
      <c r="DE802" s="31"/>
      <c r="DF802" s="31"/>
      <c r="DG802" s="31"/>
      <c r="DH802" s="31"/>
      <c r="DI802" s="31"/>
      <c r="DJ802" s="31"/>
      <c r="DK802" s="31"/>
      <c r="DL802" s="31"/>
      <c r="DM802" s="31"/>
      <c r="DN802" s="31"/>
      <c r="DO802" s="31"/>
      <c r="DP802" s="31"/>
      <c r="DQ802" s="31"/>
      <c r="DR802" s="31"/>
      <c r="DS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  <c r="CX803" s="31"/>
      <c r="CY803" s="31"/>
      <c r="CZ803" s="31"/>
      <c r="DA803" s="31"/>
      <c r="DB803" s="31"/>
      <c r="DC803" s="31"/>
      <c r="DD803" s="31"/>
      <c r="DE803" s="31"/>
      <c r="DF803" s="31"/>
      <c r="DG803" s="31"/>
      <c r="DH803" s="31"/>
      <c r="DI803" s="31"/>
      <c r="DJ803" s="31"/>
      <c r="DK803" s="31"/>
      <c r="DL803" s="31"/>
      <c r="DM803" s="31"/>
      <c r="DN803" s="31"/>
      <c r="DO803" s="31"/>
      <c r="DP803" s="31"/>
      <c r="DQ803" s="31"/>
      <c r="DR803" s="31"/>
      <c r="DS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  <c r="CX804" s="31"/>
      <c r="CY804" s="31"/>
      <c r="CZ804" s="31"/>
      <c r="DA804" s="31"/>
      <c r="DB804" s="31"/>
      <c r="DC804" s="31"/>
      <c r="DD804" s="31"/>
      <c r="DE804" s="31"/>
      <c r="DF804" s="31"/>
      <c r="DG804" s="31"/>
      <c r="DH804" s="31"/>
      <c r="DI804" s="31"/>
      <c r="DJ804" s="31"/>
      <c r="DK804" s="31"/>
      <c r="DL804" s="31"/>
      <c r="DM804" s="31"/>
      <c r="DN804" s="31"/>
      <c r="DO804" s="31"/>
      <c r="DP804" s="31"/>
      <c r="DQ804" s="31"/>
      <c r="DR804" s="31"/>
      <c r="DS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  <c r="DC805" s="31"/>
      <c r="DD805" s="31"/>
      <c r="DE805" s="31"/>
      <c r="DF805" s="31"/>
      <c r="DG805" s="31"/>
      <c r="DH805" s="31"/>
      <c r="DI805" s="31"/>
      <c r="DJ805" s="31"/>
      <c r="DK805" s="31"/>
      <c r="DL805" s="31"/>
      <c r="DM805" s="31"/>
      <c r="DN805" s="31"/>
      <c r="DO805" s="31"/>
      <c r="DP805" s="31"/>
      <c r="DQ805" s="31"/>
      <c r="DR805" s="31"/>
      <c r="DS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  <c r="CX806" s="31"/>
      <c r="CY806" s="31"/>
      <c r="CZ806" s="31"/>
      <c r="DA806" s="31"/>
      <c r="DB806" s="31"/>
      <c r="DC806" s="31"/>
      <c r="DD806" s="31"/>
      <c r="DE806" s="31"/>
      <c r="DF806" s="31"/>
      <c r="DG806" s="31"/>
      <c r="DH806" s="31"/>
      <c r="DI806" s="31"/>
      <c r="DJ806" s="31"/>
      <c r="DK806" s="31"/>
      <c r="DL806" s="31"/>
      <c r="DM806" s="31"/>
      <c r="DN806" s="31"/>
      <c r="DO806" s="31"/>
      <c r="DP806" s="31"/>
      <c r="DQ806" s="31"/>
      <c r="DR806" s="31"/>
      <c r="DS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  <c r="CX807" s="31"/>
      <c r="CY807" s="31"/>
      <c r="CZ807" s="31"/>
      <c r="DA807" s="31"/>
      <c r="DB807" s="31"/>
      <c r="DC807" s="31"/>
      <c r="DD807" s="31"/>
      <c r="DE807" s="31"/>
      <c r="DF807" s="31"/>
      <c r="DG807" s="31"/>
      <c r="DH807" s="31"/>
      <c r="DI807" s="31"/>
      <c r="DJ807" s="31"/>
      <c r="DK807" s="31"/>
      <c r="DL807" s="31"/>
      <c r="DM807" s="31"/>
      <c r="DN807" s="31"/>
      <c r="DO807" s="31"/>
      <c r="DP807" s="31"/>
      <c r="DQ807" s="31"/>
      <c r="DR807" s="31"/>
      <c r="DS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  <c r="CX808" s="31"/>
      <c r="CY808" s="31"/>
      <c r="CZ808" s="31"/>
      <c r="DA808" s="31"/>
      <c r="DB808" s="31"/>
      <c r="DC808" s="31"/>
      <c r="DD808" s="31"/>
      <c r="DE808" s="31"/>
      <c r="DF808" s="31"/>
      <c r="DG808" s="31"/>
      <c r="DH808" s="31"/>
      <c r="DI808" s="31"/>
      <c r="DJ808" s="31"/>
      <c r="DK808" s="31"/>
      <c r="DL808" s="31"/>
      <c r="DM808" s="31"/>
      <c r="DN808" s="31"/>
      <c r="DO808" s="31"/>
      <c r="DP808" s="31"/>
      <c r="DQ808" s="31"/>
      <c r="DR808" s="31"/>
      <c r="DS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  <c r="CX809" s="31"/>
      <c r="CY809" s="31"/>
      <c r="CZ809" s="31"/>
      <c r="DA809" s="31"/>
      <c r="DB809" s="31"/>
      <c r="DC809" s="31"/>
      <c r="DD809" s="31"/>
      <c r="DE809" s="31"/>
      <c r="DF809" s="31"/>
      <c r="DG809" s="31"/>
      <c r="DH809" s="31"/>
      <c r="DI809" s="31"/>
      <c r="DJ809" s="31"/>
      <c r="DK809" s="31"/>
      <c r="DL809" s="31"/>
      <c r="DM809" s="31"/>
      <c r="DN809" s="31"/>
      <c r="DO809" s="31"/>
      <c r="DP809" s="31"/>
      <c r="DQ809" s="31"/>
      <c r="DR809" s="31"/>
      <c r="DS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  <c r="CX810" s="31"/>
      <c r="CY810" s="31"/>
      <c r="CZ810" s="31"/>
      <c r="DA810" s="31"/>
      <c r="DB810" s="31"/>
      <c r="DC810" s="31"/>
      <c r="DD810" s="31"/>
      <c r="DE810" s="31"/>
      <c r="DF810" s="31"/>
      <c r="DG810" s="31"/>
      <c r="DH810" s="31"/>
      <c r="DI810" s="31"/>
      <c r="DJ810" s="31"/>
      <c r="DK810" s="31"/>
      <c r="DL810" s="31"/>
      <c r="DM810" s="31"/>
      <c r="DN810" s="31"/>
      <c r="DO810" s="31"/>
      <c r="DP810" s="31"/>
      <c r="DQ810" s="31"/>
      <c r="DR810" s="31"/>
      <c r="DS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  <c r="CX811" s="31"/>
      <c r="CY811" s="31"/>
      <c r="CZ811" s="31"/>
      <c r="DA811" s="31"/>
      <c r="DB811" s="31"/>
      <c r="DC811" s="31"/>
      <c r="DD811" s="31"/>
      <c r="DE811" s="31"/>
      <c r="DF811" s="31"/>
      <c r="DG811" s="31"/>
      <c r="DH811" s="31"/>
      <c r="DI811" s="31"/>
      <c r="DJ811" s="31"/>
      <c r="DK811" s="31"/>
      <c r="DL811" s="31"/>
      <c r="DM811" s="31"/>
      <c r="DN811" s="31"/>
      <c r="DO811" s="31"/>
      <c r="DP811" s="31"/>
      <c r="DQ811" s="31"/>
      <c r="DR811" s="31"/>
      <c r="DS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  <c r="CX812" s="31"/>
      <c r="CY812" s="31"/>
      <c r="CZ812" s="31"/>
      <c r="DA812" s="31"/>
      <c r="DB812" s="31"/>
      <c r="DC812" s="31"/>
      <c r="DD812" s="31"/>
      <c r="DE812" s="31"/>
      <c r="DF812" s="31"/>
      <c r="DG812" s="31"/>
      <c r="DH812" s="31"/>
      <c r="DI812" s="31"/>
      <c r="DJ812" s="31"/>
      <c r="DK812" s="31"/>
      <c r="DL812" s="31"/>
      <c r="DM812" s="31"/>
      <c r="DN812" s="31"/>
      <c r="DO812" s="31"/>
      <c r="DP812" s="31"/>
      <c r="DQ812" s="31"/>
      <c r="DR812" s="31"/>
      <c r="DS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  <c r="CX813" s="31"/>
      <c r="CY813" s="31"/>
      <c r="CZ813" s="31"/>
      <c r="DA813" s="31"/>
      <c r="DB813" s="31"/>
      <c r="DC813" s="31"/>
      <c r="DD813" s="31"/>
      <c r="DE813" s="31"/>
      <c r="DF813" s="31"/>
      <c r="DG813" s="31"/>
      <c r="DH813" s="31"/>
      <c r="DI813" s="31"/>
      <c r="DJ813" s="31"/>
      <c r="DK813" s="31"/>
      <c r="DL813" s="31"/>
      <c r="DM813" s="31"/>
      <c r="DN813" s="31"/>
      <c r="DO813" s="31"/>
      <c r="DP813" s="31"/>
      <c r="DQ813" s="31"/>
      <c r="DR813" s="31"/>
      <c r="DS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  <c r="CX814" s="31"/>
      <c r="CY814" s="31"/>
      <c r="CZ814" s="31"/>
      <c r="DA814" s="31"/>
      <c r="DB814" s="31"/>
      <c r="DC814" s="31"/>
      <c r="DD814" s="31"/>
      <c r="DE814" s="31"/>
      <c r="DF814" s="31"/>
      <c r="DG814" s="31"/>
      <c r="DH814" s="31"/>
      <c r="DI814" s="31"/>
      <c r="DJ814" s="31"/>
      <c r="DK814" s="31"/>
      <c r="DL814" s="31"/>
      <c r="DM814" s="31"/>
      <c r="DN814" s="31"/>
      <c r="DO814" s="31"/>
      <c r="DP814" s="31"/>
      <c r="DQ814" s="31"/>
      <c r="DR814" s="31"/>
      <c r="DS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  <c r="CX815" s="31"/>
      <c r="CY815" s="31"/>
      <c r="CZ815" s="31"/>
      <c r="DA815" s="31"/>
      <c r="DB815" s="31"/>
      <c r="DC815" s="31"/>
      <c r="DD815" s="31"/>
      <c r="DE815" s="31"/>
      <c r="DF815" s="31"/>
      <c r="DG815" s="31"/>
      <c r="DH815" s="31"/>
      <c r="DI815" s="31"/>
      <c r="DJ815" s="31"/>
      <c r="DK815" s="31"/>
      <c r="DL815" s="31"/>
      <c r="DM815" s="31"/>
      <c r="DN815" s="31"/>
      <c r="DO815" s="31"/>
      <c r="DP815" s="31"/>
      <c r="DQ815" s="31"/>
      <c r="DR815" s="31"/>
      <c r="DS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  <c r="CX816" s="31"/>
      <c r="CY816" s="31"/>
      <c r="CZ816" s="31"/>
      <c r="DA816" s="31"/>
      <c r="DB816" s="31"/>
      <c r="DC816" s="31"/>
      <c r="DD816" s="31"/>
      <c r="DE816" s="31"/>
      <c r="DF816" s="31"/>
      <c r="DG816" s="31"/>
      <c r="DH816" s="31"/>
      <c r="DI816" s="31"/>
      <c r="DJ816" s="31"/>
      <c r="DK816" s="31"/>
      <c r="DL816" s="31"/>
      <c r="DM816" s="31"/>
      <c r="DN816" s="31"/>
      <c r="DO816" s="31"/>
      <c r="DP816" s="31"/>
      <c r="DQ816" s="31"/>
      <c r="DR816" s="31"/>
      <c r="DS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  <c r="DC817" s="31"/>
      <c r="DD817" s="31"/>
      <c r="DE817" s="31"/>
      <c r="DF817" s="31"/>
      <c r="DG817" s="31"/>
      <c r="DH817" s="31"/>
      <c r="DI817" s="31"/>
      <c r="DJ817" s="31"/>
      <c r="DK817" s="31"/>
      <c r="DL817" s="31"/>
      <c r="DM817" s="31"/>
      <c r="DN817" s="31"/>
      <c r="DO817" s="31"/>
      <c r="DP817" s="31"/>
      <c r="DQ817" s="31"/>
      <c r="DR817" s="31"/>
      <c r="DS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/>
      <c r="DB818" s="31"/>
      <c r="DC818" s="31"/>
      <c r="DD818" s="31"/>
      <c r="DE818" s="31"/>
      <c r="DF818" s="31"/>
      <c r="DG818" s="31"/>
      <c r="DH818" s="31"/>
      <c r="DI818" s="31"/>
      <c r="DJ818" s="31"/>
      <c r="DK818" s="31"/>
      <c r="DL818" s="31"/>
      <c r="DM818" s="31"/>
      <c r="DN818" s="31"/>
      <c r="DO818" s="31"/>
      <c r="DP818" s="31"/>
      <c r="DQ818" s="31"/>
      <c r="DR818" s="31"/>
      <c r="DS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  <c r="CX819" s="31"/>
      <c r="CY819" s="31"/>
      <c r="CZ819" s="31"/>
      <c r="DA819" s="31"/>
      <c r="DB819" s="31"/>
      <c r="DC819" s="31"/>
      <c r="DD819" s="31"/>
      <c r="DE819" s="31"/>
      <c r="DF819" s="31"/>
      <c r="DG819" s="31"/>
      <c r="DH819" s="31"/>
      <c r="DI819" s="31"/>
      <c r="DJ819" s="31"/>
      <c r="DK819" s="31"/>
      <c r="DL819" s="31"/>
      <c r="DM819" s="31"/>
      <c r="DN819" s="31"/>
      <c r="DO819" s="31"/>
      <c r="DP819" s="31"/>
      <c r="DQ819" s="31"/>
      <c r="DR819" s="31"/>
      <c r="DS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  <c r="CX820" s="31"/>
      <c r="CY820" s="31"/>
      <c r="CZ820" s="31"/>
      <c r="DA820" s="31"/>
      <c r="DB820" s="31"/>
      <c r="DC820" s="31"/>
      <c r="DD820" s="31"/>
      <c r="DE820" s="31"/>
      <c r="DF820" s="31"/>
      <c r="DG820" s="31"/>
      <c r="DH820" s="31"/>
      <c r="DI820" s="31"/>
      <c r="DJ820" s="31"/>
      <c r="DK820" s="31"/>
      <c r="DL820" s="31"/>
      <c r="DM820" s="31"/>
      <c r="DN820" s="31"/>
      <c r="DO820" s="31"/>
      <c r="DP820" s="31"/>
      <c r="DQ820" s="31"/>
      <c r="DR820" s="31"/>
      <c r="DS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  <c r="CX821" s="31"/>
      <c r="CY821" s="31"/>
      <c r="CZ821" s="31"/>
      <c r="DA821" s="31"/>
      <c r="DB821" s="31"/>
      <c r="DC821" s="31"/>
      <c r="DD821" s="31"/>
      <c r="DE821" s="31"/>
      <c r="DF821" s="31"/>
      <c r="DG821" s="31"/>
      <c r="DH821" s="31"/>
      <c r="DI821" s="31"/>
      <c r="DJ821" s="31"/>
      <c r="DK821" s="31"/>
      <c r="DL821" s="31"/>
      <c r="DM821" s="31"/>
      <c r="DN821" s="31"/>
      <c r="DO821" s="31"/>
      <c r="DP821" s="31"/>
      <c r="DQ821" s="31"/>
      <c r="DR821" s="31"/>
      <c r="DS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  <c r="CX822" s="31"/>
      <c r="CY822" s="31"/>
      <c r="CZ822" s="31"/>
      <c r="DA822" s="31"/>
      <c r="DB822" s="31"/>
      <c r="DC822" s="31"/>
      <c r="DD822" s="31"/>
      <c r="DE822" s="31"/>
      <c r="DF822" s="31"/>
      <c r="DG822" s="31"/>
      <c r="DH822" s="31"/>
      <c r="DI822" s="31"/>
      <c r="DJ822" s="31"/>
      <c r="DK822" s="31"/>
      <c r="DL822" s="31"/>
      <c r="DM822" s="31"/>
      <c r="DN822" s="31"/>
      <c r="DO822" s="31"/>
      <c r="DP822" s="31"/>
      <c r="DQ822" s="31"/>
      <c r="DR822" s="31"/>
      <c r="DS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/>
      <c r="DB823" s="31"/>
      <c r="DC823" s="31"/>
      <c r="DD823" s="31"/>
      <c r="DE823" s="31"/>
      <c r="DF823" s="31"/>
      <c r="DG823" s="31"/>
      <c r="DH823" s="31"/>
      <c r="DI823" s="31"/>
      <c r="DJ823" s="31"/>
      <c r="DK823" s="31"/>
      <c r="DL823" s="31"/>
      <c r="DM823" s="31"/>
      <c r="DN823" s="31"/>
      <c r="DO823" s="31"/>
      <c r="DP823" s="31"/>
      <c r="DQ823" s="31"/>
      <c r="DR823" s="31"/>
      <c r="DS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  <c r="CX824" s="31"/>
      <c r="CY824" s="31"/>
      <c r="CZ824" s="31"/>
      <c r="DA824" s="31"/>
      <c r="DB824" s="31"/>
      <c r="DC824" s="31"/>
      <c r="DD824" s="31"/>
      <c r="DE824" s="31"/>
      <c r="DF824" s="31"/>
      <c r="DG824" s="31"/>
      <c r="DH824" s="31"/>
      <c r="DI824" s="31"/>
      <c r="DJ824" s="31"/>
      <c r="DK824" s="31"/>
      <c r="DL824" s="31"/>
      <c r="DM824" s="31"/>
      <c r="DN824" s="31"/>
      <c r="DO824" s="31"/>
      <c r="DP824" s="31"/>
      <c r="DQ824" s="31"/>
      <c r="DR824" s="31"/>
      <c r="DS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  <c r="CX825" s="31"/>
      <c r="CY825" s="31"/>
      <c r="CZ825" s="31"/>
      <c r="DA825" s="31"/>
      <c r="DB825" s="31"/>
      <c r="DC825" s="31"/>
      <c r="DD825" s="31"/>
      <c r="DE825" s="31"/>
      <c r="DF825" s="31"/>
      <c r="DG825" s="31"/>
      <c r="DH825" s="31"/>
      <c r="DI825" s="31"/>
      <c r="DJ825" s="31"/>
      <c r="DK825" s="31"/>
      <c r="DL825" s="31"/>
      <c r="DM825" s="31"/>
      <c r="DN825" s="31"/>
      <c r="DO825" s="31"/>
      <c r="DP825" s="31"/>
      <c r="DQ825" s="31"/>
      <c r="DR825" s="31"/>
      <c r="DS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  <c r="CX826" s="31"/>
      <c r="CY826" s="31"/>
      <c r="CZ826" s="31"/>
      <c r="DA826" s="31"/>
      <c r="DB826" s="31"/>
      <c r="DC826" s="31"/>
      <c r="DD826" s="31"/>
      <c r="DE826" s="31"/>
      <c r="DF826" s="31"/>
      <c r="DG826" s="31"/>
      <c r="DH826" s="31"/>
      <c r="DI826" s="31"/>
      <c r="DJ826" s="31"/>
      <c r="DK826" s="31"/>
      <c r="DL826" s="31"/>
      <c r="DM826" s="31"/>
      <c r="DN826" s="31"/>
      <c r="DO826" s="31"/>
      <c r="DP826" s="31"/>
      <c r="DQ826" s="31"/>
      <c r="DR826" s="31"/>
      <c r="DS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  <c r="CX827" s="31"/>
      <c r="CY827" s="31"/>
      <c r="CZ827" s="31"/>
      <c r="DA827" s="31"/>
      <c r="DB827" s="31"/>
      <c r="DC827" s="31"/>
      <c r="DD827" s="31"/>
      <c r="DE827" s="31"/>
      <c r="DF827" s="31"/>
      <c r="DG827" s="31"/>
      <c r="DH827" s="31"/>
      <c r="DI827" s="31"/>
      <c r="DJ827" s="31"/>
      <c r="DK827" s="31"/>
      <c r="DL827" s="31"/>
      <c r="DM827" s="31"/>
      <c r="DN827" s="31"/>
      <c r="DO827" s="31"/>
      <c r="DP827" s="31"/>
      <c r="DQ827" s="31"/>
      <c r="DR827" s="31"/>
      <c r="DS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  <c r="DC828" s="31"/>
      <c r="DD828" s="31"/>
      <c r="DE828" s="31"/>
      <c r="DF828" s="31"/>
      <c r="DG828" s="31"/>
      <c r="DH828" s="31"/>
      <c r="DI828" s="31"/>
      <c r="DJ828" s="31"/>
      <c r="DK828" s="31"/>
      <c r="DL828" s="31"/>
      <c r="DM828" s="31"/>
      <c r="DN828" s="31"/>
      <c r="DO828" s="31"/>
      <c r="DP828" s="31"/>
      <c r="DQ828" s="31"/>
      <c r="DR828" s="31"/>
      <c r="DS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  <c r="DC829" s="31"/>
      <c r="DD829" s="31"/>
      <c r="DE829" s="31"/>
      <c r="DF829" s="31"/>
      <c r="DG829" s="31"/>
      <c r="DH829" s="31"/>
      <c r="DI829" s="31"/>
      <c r="DJ829" s="31"/>
      <c r="DK829" s="31"/>
      <c r="DL829" s="31"/>
      <c r="DM829" s="31"/>
      <c r="DN829" s="31"/>
      <c r="DO829" s="31"/>
      <c r="DP829" s="31"/>
      <c r="DQ829" s="31"/>
      <c r="DR829" s="31"/>
      <c r="DS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  <c r="DC830" s="31"/>
      <c r="DD830" s="31"/>
      <c r="DE830" s="31"/>
      <c r="DF830" s="31"/>
      <c r="DG830" s="31"/>
      <c r="DH830" s="31"/>
      <c r="DI830" s="31"/>
      <c r="DJ830" s="31"/>
      <c r="DK830" s="31"/>
      <c r="DL830" s="31"/>
      <c r="DM830" s="31"/>
      <c r="DN830" s="31"/>
      <c r="DO830" s="31"/>
      <c r="DP830" s="31"/>
      <c r="DQ830" s="31"/>
      <c r="DR830" s="31"/>
      <c r="DS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  <c r="DC831" s="31"/>
      <c r="DD831" s="31"/>
      <c r="DE831" s="31"/>
      <c r="DF831" s="31"/>
      <c r="DG831" s="31"/>
      <c r="DH831" s="31"/>
      <c r="DI831" s="31"/>
      <c r="DJ831" s="31"/>
      <c r="DK831" s="31"/>
      <c r="DL831" s="31"/>
      <c r="DM831" s="31"/>
      <c r="DN831" s="31"/>
      <c r="DO831" s="31"/>
      <c r="DP831" s="31"/>
      <c r="DQ831" s="31"/>
      <c r="DR831" s="31"/>
      <c r="DS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  <c r="DC832" s="31"/>
      <c r="DD832" s="31"/>
      <c r="DE832" s="31"/>
      <c r="DF832" s="31"/>
      <c r="DG832" s="31"/>
      <c r="DH832" s="31"/>
      <c r="DI832" s="31"/>
      <c r="DJ832" s="31"/>
      <c r="DK832" s="31"/>
      <c r="DL832" s="31"/>
      <c r="DM832" s="31"/>
      <c r="DN832" s="31"/>
      <c r="DO832" s="31"/>
      <c r="DP832" s="31"/>
      <c r="DQ832" s="31"/>
      <c r="DR832" s="31"/>
      <c r="DS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  <c r="DI833" s="31"/>
      <c r="DJ833" s="31"/>
      <c r="DK833" s="31"/>
      <c r="DL833" s="31"/>
      <c r="DM833" s="31"/>
      <c r="DN833" s="31"/>
      <c r="DO833" s="31"/>
      <c r="DP833" s="31"/>
      <c r="DQ833" s="31"/>
      <c r="DR833" s="31"/>
      <c r="DS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  <c r="DC834" s="31"/>
      <c r="DD834" s="31"/>
      <c r="DE834" s="31"/>
      <c r="DF834" s="31"/>
      <c r="DG834" s="31"/>
      <c r="DH834" s="31"/>
      <c r="DI834" s="31"/>
      <c r="DJ834" s="31"/>
      <c r="DK834" s="31"/>
      <c r="DL834" s="31"/>
      <c r="DM834" s="31"/>
      <c r="DN834" s="31"/>
      <c r="DO834" s="31"/>
      <c r="DP834" s="31"/>
      <c r="DQ834" s="31"/>
      <c r="DR834" s="31"/>
      <c r="DS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  <c r="DC835" s="31"/>
      <c r="DD835" s="31"/>
      <c r="DE835" s="31"/>
      <c r="DF835" s="31"/>
      <c r="DG835" s="31"/>
      <c r="DH835" s="31"/>
      <c r="DI835" s="31"/>
      <c r="DJ835" s="31"/>
      <c r="DK835" s="31"/>
      <c r="DL835" s="31"/>
      <c r="DM835" s="31"/>
      <c r="DN835" s="31"/>
      <c r="DO835" s="31"/>
      <c r="DP835" s="31"/>
      <c r="DQ835" s="31"/>
      <c r="DR835" s="31"/>
      <c r="DS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  <c r="CX836" s="31"/>
      <c r="CY836" s="31"/>
      <c r="CZ836" s="31"/>
      <c r="DA836" s="31"/>
      <c r="DB836" s="31"/>
      <c r="DC836" s="31"/>
      <c r="DD836" s="31"/>
      <c r="DE836" s="31"/>
      <c r="DF836" s="31"/>
      <c r="DG836" s="31"/>
      <c r="DH836" s="31"/>
      <c r="DI836" s="31"/>
      <c r="DJ836" s="31"/>
      <c r="DK836" s="31"/>
      <c r="DL836" s="31"/>
      <c r="DM836" s="31"/>
      <c r="DN836" s="31"/>
      <c r="DO836" s="31"/>
      <c r="DP836" s="31"/>
      <c r="DQ836" s="31"/>
      <c r="DR836" s="31"/>
      <c r="DS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  <c r="CX837" s="31"/>
      <c r="CY837" s="31"/>
      <c r="CZ837" s="31"/>
      <c r="DA837" s="31"/>
      <c r="DB837" s="31"/>
      <c r="DC837" s="31"/>
      <c r="DD837" s="31"/>
      <c r="DE837" s="31"/>
      <c r="DF837" s="31"/>
      <c r="DG837" s="31"/>
      <c r="DH837" s="31"/>
      <c r="DI837" s="31"/>
      <c r="DJ837" s="31"/>
      <c r="DK837" s="31"/>
      <c r="DL837" s="31"/>
      <c r="DM837" s="31"/>
      <c r="DN837" s="31"/>
      <c r="DO837" s="31"/>
      <c r="DP837" s="31"/>
      <c r="DQ837" s="31"/>
      <c r="DR837" s="31"/>
      <c r="DS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  <c r="CX838" s="31"/>
      <c r="CY838" s="31"/>
      <c r="CZ838" s="31"/>
      <c r="DA838" s="31"/>
      <c r="DB838" s="31"/>
      <c r="DC838" s="31"/>
      <c r="DD838" s="31"/>
      <c r="DE838" s="31"/>
      <c r="DF838" s="31"/>
      <c r="DG838" s="31"/>
      <c r="DH838" s="31"/>
      <c r="DI838" s="31"/>
      <c r="DJ838" s="31"/>
      <c r="DK838" s="31"/>
      <c r="DL838" s="31"/>
      <c r="DM838" s="31"/>
      <c r="DN838" s="31"/>
      <c r="DO838" s="31"/>
      <c r="DP838" s="31"/>
      <c r="DQ838" s="31"/>
      <c r="DR838" s="31"/>
      <c r="DS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  <c r="CX839" s="31"/>
      <c r="CY839" s="31"/>
      <c r="CZ839" s="31"/>
      <c r="DA839" s="31"/>
      <c r="DB839" s="31"/>
      <c r="DC839" s="31"/>
      <c r="DD839" s="31"/>
      <c r="DE839" s="31"/>
      <c r="DF839" s="31"/>
      <c r="DG839" s="31"/>
      <c r="DH839" s="31"/>
      <c r="DI839" s="31"/>
      <c r="DJ839" s="31"/>
      <c r="DK839" s="31"/>
      <c r="DL839" s="31"/>
      <c r="DM839" s="31"/>
      <c r="DN839" s="31"/>
      <c r="DO839" s="31"/>
      <c r="DP839" s="31"/>
      <c r="DQ839" s="31"/>
      <c r="DR839" s="31"/>
      <c r="DS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  <c r="CX840" s="31"/>
      <c r="CY840" s="31"/>
      <c r="CZ840" s="31"/>
      <c r="DA840" s="31"/>
      <c r="DB840" s="31"/>
      <c r="DC840" s="31"/>
      <c r="DD840" s="31"/>
      <c r="DE840" s="31"/>
      <c r="DF840" s="31"/>
      <c r="DG840" s="31"/>
      <c r="DH840" s="31"/>
      <c r="DI840" s="31"/>
      <c r="DJ840" s="31"/>
      <c r="DK840" s="31"/>
      <c r="DL840" s="31"/>
      <c r="DM840" s="31"/>
      <c r="DN840" s="31"/>
      <c r="DO840" s="31"/>
      <c r="DP840" s="31"/>
      <c r="DQ840" s="31"/>
      <c r="DR840" s="31"/>
      <c r="DS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  <c r="CX841" s="31"/>
      <c r="CY841" s="31"/>
      <c r="CZ841" s="31"/>
      <c r="DA841" s="31"/>
      <c r="DB841" s="31"/>
      <c r="DC841" s="31"/>
      <c r="DD841" s="31"/>
      <c r="DE841" s="31"/>
      <c r="DF841" s="31"/>
      <c r="DG841" s="31"/>
      <c r="DH841" s="31"/>
      <c r="DI841" s="31"/>
      <c r="DJ841" s="31"/>
      <c r="DK841" s="31"/>
      <c r="DL841" s="31"/>
      <c r="DM841" s="31"/>
      <c r="DN841" s="31"/>
      <c r="DO841" s="31"/>
      <c r="DP841" s="31"/>
      <c r="DQ841" s="31"/>
      <c r="DR841" s="31"/>
      <c r="DS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  <c r="CX842" s="31"/>
      <c r="CY842" s="31"/>
      <c r="CZ842" s="31"/>
      <c r="DA842" s="31"/>
      <c r="DB842" s="31"/>
      <c r="DC842" s="31"/>
      <c r="DD842" s="31"/>
      <c r="DE842" s="31"/>
      <c r="DF842" s="31"/>
      <c r="DG842" s="31"/>
      <c r="DH842" s="31"/>
      <c r="DI842" s="31"/>
      <c r="DJ842" s="31"/>
      <c r="DK842" s="31"/>
      <c r="DL842" s="31"/>
      <c r="DM842" s="31"/>
      <c r="DN842" s="31"/>
      <c r="DO842" s="31"/>
      <c r="DP842" s="31"/>
      <c r="DQ842" s="31"/>
      <c r="DR842" s="31"/>
      <c r="DS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  <c r="CX843" s="31"/>
      <c r="CY843" s="31"/>
      <c r="CZ843" s="31"/>
      <c r="DA843" s="31"/>
      <c r="DB843" s="31"/>
      <c r="DC843" s="31"/>
      <c r="DD843" s="31"/>
      <c r="DE843" s="31"/>
      <c r="DF843" s="31"/>
      <c r="DG843" s="31"/>
      <c r="DH843" s="31"/>
      <c r="DI843" s="31"/>
      <c r="DJ843" s="31"/>
      <c r="DK843" s="31"/>
      <c r="DL843" s="31"/>
      <c r="DM843" s="31"/>
      <c r="DN843" s="31"/>
      <c r="DO843" s="31"/>
      <c r="DP843" s="31"/>
      <c r="DQ843" s="31"/>
      <c r="DR843" s="31"/>
      <c r="DS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  <c r="CX844" s="31"/>
      <c r="CY844" s="31"/>
      <c r="CZ844" s="31"/>
      <c r="DA844" s="31"/>
      <c r="DB844" s="31"/>
      <c r="DC844" s="31"/>
      <c r="DD844" s="31"/>
      <c r="DE844" s="31"/>
      <c r="DF844" s="31"/>
      <c r="DG844" s="31"/>
      <c r="DH844" s="31"/>
      <c r="DI844" s="31"/>
      <c r="DJ844" s="31"/>
      <c r="DK844" s="31"/>
      <c r="DL844" s="31"/>
      <c r="DM844" s="31"/>
      <c r="DN844" s="31"/>
      <c r="DO844" s="31"/>
      <c r="DP844" s="31"/>
      <c r="DQ844" s="31"/>
      <c r="DR844" s="31"/>
      <c r="DS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  <c r="CX845" s="31"/>
      <c r="CY845" s="31"/>
      <c r="CZ845" s="31"/>
      <c r="DA845" s="31"/>
      <c r="DB845" s="31"/>
      <c r="DC845" s="31"/>
      <c r="DD845" s="31"/>
      <c r="DE845" s="31"/>
      <c r="DF845" s="31"/>
      <c r="DG845" s="31"/>
      <c r="DH845" s="31"/>
      <c r="DI845" s="31"/>
      <c r="DJ845" s="31"/>
      <c r="DK845" s="31"/>
      <c r="DL845" s="31"/>
      <c r="DM845" s="31"/>
      <c r="DN845" s="31"/>
      <c r="DO845" s="31"/>
      <c r="DP845" s="31"/>
      <c r="DQ845" s="31"/>
      <c r="DR845" s="31"/>
      <c r="DS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  <c r="CX846" s="31"/>
      <c r="CY846" s="31"/>
      <c r="CZ846" s="31"/>
      <c r="DA846" s="31"/>
      <c r="DB846" s="31"/>
      <c r="DC846" s="31"/>
      <c r="DD846" s="31"/>
      <c r="DE846" s="31"/>
      <c r="DF846" s="31"/>
      <c r="DG846" s="31"/>
      <c r="DH846" s="31"/>
      <c r="DI846" s="31"/>
      <c r="DJ846" s="31"/>
      <c r="DK846" s="31"/>
      <c r="DL846" s="31"/>
      <c r="DM846" s="31"/>
      <c r="DN846" s="31"/>
      <c r="DO846" s="31"/>
      <c r="DP846" s="31"/>
      <c r="DQ846" s="31"/>
      <c r="DR846" s="31"/>
      <c r="DS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  <c r="CX847" s="31"/>
      <c r="CY847" s="31"/>
      <c r="CZ847" s="31"/>
      <c r="DA847" s="31"/>
      <c r="DB847" s="31"/>
      <c r="DC847" s="31"/>
      <c r="DD847" s="31"/>
      <c r="DE847" s="31"/>
      <c r="DF847" s="31"/>
      <c r="DG847" s="31"/>
      <c r="DH847" s="31"/>
      <c r="DI847" s="31"/>
      <c r="DJ847" s="31"/>
      <c r="DK847" s="31"/>
      <c r="DL847" s="31"/>
      <c r="DM847" s="31"/>
      <c r="DN847" s="31"/>
      <c r="DO847" s="31"/>
      <c r="DP847" s="31"/>
      <c r="DQ847" s="31"/>
      <c r="DR847" s="31"/>
      <c r="DS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  <c r="CX848" s="31"/>
      <c r="CY848" s="31"/>
      <c r="CZ848" s="31"/>
      <c r="DA848" s="31"/>
      <c r="DB848" s="31"/>
      <c r="DC848" s="31"/>
      <c r="DD848" s="31"/>
      <c r="DE848" s="31"/>
      <c r="DF848" s="31"/>
      <c r="DG848" s="31"/>
      <c r="DH848" s="31"/>
      <c r="DI848" s="31"/>
      <c r="DJ848" s="31"/>
      <c r="DK848" s="31"/>
      <c r="DL848" s="31"/>
      <c r="DM848" s="31"/>
      <c r="DN848" s="31"/>
      <c r="DO848" s="31"/>
      <c r="DP848" s="31"/>
      <c r="DQ848" s="31"/>
      <c r="DR848" s="31"/>
      <c r="DS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  <c r="CX849" s="31"/>
      <c r="CY849" s="31"/>
      <c r="CZ849" s="31"/>
      <c r="DA849" s="31"/>
      <c r="DB849" s="31"/>
      <c r="DC849" s="31"/>
      <c r="DD849" s="31"/>
      <c r="DE849" s="31"/>
      <c r="DF849" s="31"/>
      <c r="DG849" s="31"/>
      <c r="DH849" s="31"/>
      <c r="DI849" s="31"/>
      <c r="DJ849" s="31"/>
      <c r="DK849" s="31"/>
      <c r="DL849" s="31"/>
      <c r="DM849" s="31"/>
      <c r="DN849" s="31"/>
      <c r="DO849" s="31"/>
      <c r="DP849" s="31"/>
      <c r="DQ849" s="31"/>
      <c r="DR849" s="31"/>
      <c r="DS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  <c r="CX850" s="31"/>
      <c r="CY850" s="31"/>
      <c r="CZ850" s="31"/>
      <c r="DA850" s="31"/>
      <c r="DB850" s="31"/>
      <c r="DC850" s="31"/>
      <c r="DD850" s="31"/>
      <c r="DE850" s="31"/>
      <c r="DF850" s="31"/>
      <c r="DG850" s="31"/>
      <c r="DH850" s="31"/>
      <c r="DI850" s="31"/>
      <c r="DJ850" s="31"/>
      <c r="DK850" s="31"/>
      <c r="DL850" s="31"/>
      <c r="DM850" s="31"/>
      <c r="DN850" s="31"/>
      <c r="DO850" s="31"/>
      <c r="DP850" s="31"/>
      <c r="DQ850" s="31"/>
      <c r="DR850" s="31"/>
      <c r="DS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  <c r="CX851" s="31"/>
      <c r="CY851" s="31"/>
      <c r="CZ851" s="31"/>
      <c r="DA851" s="31"/>
      <c r="DB851" s="31"/>
      <c r="DC851" s="31"/>
      <c r="DD851" s="31"/>
      <c r="DE851" s="31"/>
      <c r="DF851" s="31"/>
      <c r="DG851" s="31"/>
      <c r="DH851" s="31"/>
      <c r="DI851" s="31"/>
      <c r="DJ851" s="31"/>
      <c r="DK851" s="31"/>
      <c r="DL851" s="31"/>
      <c r="DM851" s="31"/>
      <c r="DN851" s="31"/>
      <c r="DO851" s="31"/>
      <c r="DP851" s="31"/>
      <c r="DQ851" s="31"/>
      <c r="DR851" s="31"/>
      <c r="DS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  <c r="CX852" s="31"/>
      <c r="CY852" s="31"/>
      <c r="CZ852" s="31"/>
      <c r="DA852" s="31"/>
      <c r="DB852" s="31"/>
      <c r="DC852" s="31"/>
      <c r="DD852" s="31"/>
      <c r="DE852" s="31"/>
      <c r="DF852" s="31"/>
      <c r="DG852" s="31"/>
      <c r="DH852" s="31"/>
      <c r="DI852" s="31"/>
      <c r="DJ852" s="31"/>
      <c r="DK852" s="31"/>
      <c r="DL852" s="31"/>
      <c r="DM852" s="31"/>
      <c r="DN852" s="31"/>
      <c r="DO852" s="31"/>
      <c r="DP852" s="31"/>
      <c r="DQ852" s="31"/>
      <c r="DR852" s="31"/>
      <c r="DS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  <c r="CX853" s="31"/>
      <c r="CY853" s="31"/>
      <c r="CZ853" s="31"/>
      <c r="DA853" s="31"/>
      <c r="DB853" s="31"/>
      <c r="DC853" s="31"/>
      <c r="DD853" s="31"/>
      <c r="DE853" s="31"/>
      <c r="DF853" s="31"/>
      <c r="DG853" s="31"/>
      <c r="DH853" s="31"/>
      <c r="DI853" s="31"/>
      <c r="DJ853" s="31"/>
      <c r="DK853" s="31"/>
      <c r="DL853" s="31"/>
      <c r="DM853" s="31"/>
      <c r="DN853" s="31"/>
      <c r="DO853" s="31"/>
      <c r="DP853" s="31"/>
      <c r="DQ853" s="31"/>
      <c r="DR853" s="31"/>
      <c r="DS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  <c r="CX854" s="31"/>
      <c r="CY854" s="31"/>
      <c r="CZ854" s="31"/>
      <c r="DA854" s="31"/>
      <c r="DB854" s="31"/>
      <c r="DC854" s="31"/>
      <c r="DD854" s="31"/>
      <c r="DE854" s="31"/>
      <c r="DF854" s="31"/>
      <c r="DG854" s="31"/>
      <c r="DH854" s="31"/>
      <c r="DI854" s="31"/>
      <c r="DJ854" s="31"/>
      <c r="DK854" s="31"/>
      <c r="DL854" s="31"/>
      <c r="DM854" s="31"/>
      <c r="DN854" s="31"/>
      <c r="DO854" s="31"/>
      <c r="DP854" s="31"/>
      <c r="DQ854" s="31"/>
      <c r="DR854" s="31"/>
      <c r="DS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  <c r="CX855" s="31"/>
      <c r="CY855" s="31"/>
      <c r="CZ855" s="31"/>
      <c r="DA855" s="31"/>
      <c r="DB855" s="31"/>
      <c r="DC855" s="31"/>
      <c r="DD855" s="31"/>
      <c r="DE855" s="31"/>
      <c r="DF855" s="31"/>
      <c r="DG855" s="31"/>
      <c r="DH855" s="31"/>
      <c r="DI855" s="31"/>
      <c r="DJ855" s="31"/>
      <c r="DK855" s="31"/>
      <c r="DL855" s="31"/>
      <c r="DM855" s="31"/>
      <c r="DN855" s="31"/>
      <c r="DO855" s="31"/>
      <c r="DP855" s="31"/>
      <c r="DQ855" s="31"/>
      <c r="DR855" s="31"/>
      <c r="DS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  <c r="CX856" s="31"/>
      <c r="CY856" s="31"/>
      <c r="CZ856" s="31"/>
      <c r="DA856" s="31"/>
      <c r="DB856" s="31"/>
      <c r="DC856" s="31"/>
      <c r="DD856" s="31"/>
      <c r="DE856" s="31"/>
      <c r="DF856" s="31"/>
      <c r="DG856" s="31"/>
      <c r="DH856" s="31"/>
      <c r="DI856" s="31"/>
      <c r="DJ856" s="31"/>
      <c r="DK856" s="31"/>
      <c r="DL856" s="31"/>
      <c r="DM856" s="31"/>
      <c r="DN856" s="31"/>
      <c r="DO856" s="31"/>
      <c r="DP856" s="31"/>
      <c r="DQ856" s="31"/>
      <c r="DR856" s="31"/>
      <c r="DS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  <c r="CX857" s="31"/>
      <c r="CY857" s="31"/>
      <c r="CZ857" s="31"/>
      <c r="DA857" s="31"/>
      <c r="DB857" s="31"/>
      <c r="DC857" s="31"/>
      <c r="DD857" s="31"/>
      <c r="DE857" s="31"/>
      <c r="DF857" s="31"/>
      <c r="DG857" s="31"/>
      <c r="DH857" s="31"/>
      <c r="DI857" s="31"/>
      <c r="DJ857" s="31"/>
      <c r="DK857" s="31"/>
      <c r="DL857" s="31"/>
      <c r="DM857" s="31"/>
      <c r="DN857" s="31"/>
      <c r="DO857" s="31"/>
      <c r="DP857" s="31"/>
      <c r="DQ857" s="31"/>
      <c r="DR857" s="31"/>
      <c r="DS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  <c r="CX858" s="31"/>
      <c r="CY858" s="31"/>
      <c r="CZ858" s="31"/>
      <c r="DA858" s="31"/>
      <c r="DB858" s="31"/>
      <c r="DC858" s="31"/>
      <c r="DD858" s="31"/>
      <c r="DE858" s="31"/>
      <c r="DF858" s="31"/>
      <c r="DG858" s="31"/>
      <c r="DH858" s="31"/>
      <c r="DI858" s="31"/>
      <c r="DJ858" s="31"/>
      <c r="DK858" s="31"/>
      <c r="DL858" s="31"/>
      <c r="DM858" s="31"/>
      <c r="DN858" s="31"/>
      <c r="DO858" s="31"/>
      <c r="DP858" s="31"/>
      <c r="DQ858" s="31"/>
      <c r="DR858" s="31"/>
      <c r="DS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  <c r="CX859" s="31"/>
      <c r="CY859" s="31"/>
      <c r="CZ859" s="31"/>
      <c r="DA859" s="31"/>
      <c r="DB859" s="31"/>
      <c r="DC859" s="31"/>
      <c r="DD859" s="31"/>
      <c r="DE859" s="31"/>
      <c r="DF859" s="31"/>
      <c r="DG859" s="31"/>
      <c r="DH859" s="31"/>
      <c r="DI859" s="31"/>
      <c r="DJ859" s="31"/>
      <c r="DK859" s="31"/>
      <c r="DL859" s="31"/>
      <c r="DM859" s="31"/>
      <c r="DN859" s="31"/>
      <c r="DO859" s="31"/>
      <c r="DP859" s="31"/>
      <c r="DQ859" s="31"/>
      <c r="DR859" s="31"/>
      <c r="DS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  <c r="CX860" s="31"/>
      <c r="CY860" s="31"/>
      <c r="CZ860" s="31"/>
      <c r="DA860" s="31"/>
      <c r="DB860" s="31"/>
      <c r="DC860" s="31"/>
      <c r="DD860" s="31"/>
      <c r="DE860" s="31"/>
      <c r="DF860" s="31"/>
      <c r="DG860" s="31"/>
      <c r="DH860" s="31"/>
      <c r="DI860" s="31"/>
      <c r="DJ860" s="31"/>
      <c r="DK860" s="31"/>
      <c r="DL860" s="31"/>
      <c r="DM860" s="31"/>
      <c r="DN860" s="31"/>
      <c r="DO860" s="31"/>
      <c r="DP860" s="31"/>
      <c r="DQ860" s="31"/>
      <c r="DR860" s="31"/>
      <c r="DS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  <c r="CX861" s="31"/>
      <c r="CY861" s="31"/>
      <c r="CZ861" s="31"/>
      <c r="DA861" s="31"/>
      <c r="DB861" s="31"/>
      <c r="DC861" s="31"/>
      <c r="DD861" s="31"/>
      <c r="DE861" s="31"/>
      <c r="DF861" s="31"/>
      <c r="DG861" s="31"/>
      <c r="DH861" s="31"/>
      <c r="DI861" s="31"/>
      <c r="DJ861" s="31"/>
      <c r="DK861" s="31"/>
      <c r="DL861" s="31"/>
      <c r="DM861" s="31"/>
      <c r="DN861" s="31"/>
      <c r="DO861" s="31"/>
      <c r="DP861" s="31"/>
      <c r="DQ861" s="31"/>
      <c r="DR861" s="31"/>
      <c r="DS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  <c r="CX862" s="31"/>
      <c r="CY862" s="31"/>
      <c r="CZ862" s="31"/>
      <c r="DA862" s="31"/>
      <c r="DB862" s="31"/>
      <c r="DC862" s="31"/>
      <c r="DD862" s="31"/>
      <c r="DE862" s="31"/>
      <c r="DF862" s="31"/>
      <c r="DG862" s="31"/>
      <c r="DH862" s="31"/>
      <c r="DI862" s="31"/>
      <c r="DJ862" s="31"/>
      <c r="DK862" s="31"/>
      <c r="DL862" s="31"/>
      <c r="DM862" s="31"/>
      <c r="DN862" s="31"/>
      <c r="DO862" s="31"/>
      <c r="DP862" s="31"/>
      <c r="DQ862" s="31"/>
      <c r="DR862" s="31"/>
      <c r="DS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  <c r="CX863" s="31"/>
      <c r="CY863" s="31"/>
      <c r="CZ863" s="31"/>
      <c r="DA863" s="31"/>
      <c r="DB863" s="31"/>
      <c r="DC863" s="31"/>
      <c r="DD863" s="31"/>
      <c r="DE863" s="31"/>
      <c r="DF863" s="31"/>
      <c r="DG863" s="31"/>
      <c r="DH863" s="31"/>
      <c r="DI863" s="31"/>
      <c r="DJ863" s="31"/>
      <c r="DK863" s="31"/>
      <c r="DL863" s="31"/>
      <c r="DM863" s="31"/>
      <c r="DN863" s="31"/>
      <c r="DO863" s="31"/>
      <c r="DP863" s="31"/>
      <c r="DQ863" s="31"/>
      <c r="DR863" s="31"/>
      <c r="DS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  <c r="CX864" s="31"/>
      <c r="CY864" s="31"/>
      <c r="CZ864" s="31"/>
      <c r="DA864" s="31"/>
      <c r="DB864" s="31"/>
      <c r="DC864" s="31"/>
      <c r="DD864" s="31"/>
      <c r="DE864" s="31"/>
      <c r="DF864" s="31"/>
      <c r="DG864" s="31"/>
      <c r="DH864" s="31"/>
      <c r="DI864" s="31"/>
      <c r="DJ864" s="31"/>
      <c r="DK864" s="31"/>
      <c r="DL864" s="31"/>
      <c r="DM864" s="31"/>
      <c r="DN864" s="31"/>
      <c r="DO864" s="31"/>
      <c r="DP864" s="31"/>
      <c r="DQ864" s="31"/>
      <c r="DR864" s="31"/>
      <c r="DS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  <c r="CX865" s="31"/>
      <c r="CY865" s="31"/>
      <c r="CZ865" s="31"/>
      <c r="DA865" s="31"/>
      <c r="DB865" s="31"/>
      <c r="DC865" s="31"/>
      <c r="DD865" s="31"/>
      <c r="DE865" s="31"/>
      <c r="DF865" s="31"/>
      <c r="DG865" s="31"/>
      <c r="DH865" s="31"/>
      <c r="DI865" s="31"/>
      <c r="DJ865" s="31"/>
      <c r="DK865" s="31"/>
      <c r="DL865" s="31"/>
      <c r="DM865" s="31"/>
      <c r="DN865" s="31"/>
      <c r="DO865" s="31"/>
      <c r="DP865" s="31"/>
      <c r="DQ865" s="31"/>
      <c r="DR865" s="31"/>
      <c r="DS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  <c r="CX866" s="31"/>
      <c r="CY866" s="31"/>
      <c r="CZ866" s="31"/>
      <c r="DA866" s="31"/>
      <c r="DB866" s="31"/>
      <c r="DC866" s="31"/>
      <c r="DD866" s="31"/>
      <c r="DE866" s="31"/>
      <c r="DF866" s="31"/>
      <c r="DG866" s="31"/>
      <c r="DH866" s="31"/>
      <c r="DI866" s="31"/>
      <c r="DJ866" s="31"/>
      <c r="DK866" s="31"/>
      <c r="DL866" s="31"/>
      <c r="DM866" s="31"/>
      <c r="DN866" s="31"/>
      <c r="DO866" s="31"/>
      <c r="DP866" s="31"/>
      <c r="DQ866" s="31"/>
      <c r="DR866" s="31"/>
      <c r="DS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  <c r="CX867" s="31"/>
      <c r="CY867" s="31"/>
      <c r="CZ867" s="31"/>
      <c r="DA867" s="31"/>
      <c r="DB867" s="31"/>
      <c r="DC867" s="31"/>
      <c r="DD867" s="31"/>
      <c r="DE867" s="31"/>
      <c r="DF867" s="31"/>
      <c r="DG867" s="31"/>
      <c r="DH867" s="31"/>
      <c r="DI867" s="31"/>
      <c r="DJ867" s="31"/>
      <c r="DK867" s="31"/>
      <c r="DL867" s="31"/>
      <c r="DM867" s="31"/>
      <c r="DN867" s="31"/>
      <c r="DO867" s="31"/>
      <c r="DP867" s="31"/>
      <c r="DQ867" s="31"/>
      <c r="DR867" s="31"/>
      <c r="DS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  <c r="DC868" s="31"/>
      <c r="DD868" s="31"/>
      <c r="DE868" s="31"/>
      <c r="DF868" s="31"/>
      <c r="DG868" s="31"/>
      <c r="DH868" s="31"/>
      <c r="DI868" s="31"/>
      <c r="DJ868" s="31"/>
      <c r="DK868" s="31"/>
      <c r="DL868" s="31"/>
      <c r="DM868" s="31"/>
      <c r="DN868" s="31"/>
      <c r="DO868" s="31"/>
      <c r="DP868" s="31"/>
      <c r="DQ868" s="31"/>
      <c r="DR868" s="31"/>
      <c r="DS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  <c r="CX869" s="31"/>
      <c r="CY869" s="31"/>
      <c r="CZ869" s="31"/>
      <c r="DA869" s="31"/>
      <c r="DB869" s="31"/>
      <c r="DC869" s="31"/>
      <c r="DD869" s="31"/>
      <c r="DE869" s="31"/>
      <c r="DF869" s="31"/>
      <c r="DG869" s="31"/>
      <c r="DH869" s="31"/>
      <c r="DI869" s="31"/>
      <c r="DJ869" s="31"/>
      <c r="DK869" s="31"/>
      <c r="DL869" s="31"/>
      <c r="DM869" s="31"/>
      <c r="DN869" s="31"/>
      <c r="DO869" s="31"/>
      <c r="DP869" s="31"/>
      <c r="DQ869" s="31"/>
      <c r="DR869" s="31"/>
      <c r="DS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  <c r="DC870" s="31"/>
      <c r="DD870" s="31"/>
      <c r="DE870" s="31"/>
      <c r="DF870" s="31"/>
      <c r="DG870" s="31"/>
      <c r="DH870" s="31"/>
      <c r="DI870" s="31"/>
      <c r="DJ870" s="31"/>
      <c r="DK870" s="31"/>
      <c r="DL870" s="31"/>
      <c r="DM870" s="31"/>
      <c r="DN870" s="31"/>
      <c r="DO870" s="31"/>
      <c r="DP870" s="31"/>
      <c r="DQ870" s="31"/>
      <c r="DR870" s="31"/>
      <c r="DS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  <c r="CX871" s="31"/>
      <c r="CY871" s="31"/>
      <c r="CZ871" s="31"/>
      <c r="DA871" s="31"/>
      <c r="DB871" s="31"/>
      <c r="DC871" s="31"/>
      <c r="DD871" s="31"/>
      <c r="DE871" s="31"/>
      <c r="DF871" s="31"/>
      <c r="DG871" s="31"/>
      <c r="DH871" s="31"/>
      <c r="DI871" s="31"/>
      <c r="DJ871" s="31"/>
      <c r="DK871" s="31"/>
      <c r="DL871" s="31"/>
      <c r="DM871" s="31"/>
      <c r="DN871" s="31"/>
      <c r="DO871" s="31"/>
      <c r="DP871" s="31"/>
      <c r="DQ871" s="31"/>
      <c r="DR871" s="31"/>
      <c r="DS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  <c r="CX872" s="31"/>
      <c r="CY872" s="31"/>
      <c r="CZ872" s="31"/>
      <c r="DA872" s="31"/>
      <c r="DB872" s="31"/>
      <c r="DC872" s="31"/>
      <c r="DD872" s="31"/>
      <c r="DE872" s="31"/>
      <c r="DF872" s="31"/>
      <c r="DG872" s="31"/>
      <c r="DH872" s="31"/>
      <c r="DI872" s="31"/>
      <c r="DJ872" s="31"/>
      <c r="DK872" s="31"/>
      <c r="DL872" s="31"/>
      <c r="DM872" s="31"/>
      <c r="DN872" s="31"/>
      <c r="DO872" s="31"/>
      <c r="DP872" s="31"/>
      <c r="DQ872" s="31"/>
      <c r="DR872" s="31"/>
      <c r="DS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  <c r="CX873" s="31"/>
      <c r="CY873" s="31"/>
      <c r="CZ873" s="31"/>
      <c r="DA873" s="31"/>
      <c r="DB873" s="31"/>
      <c r="DC873" s="31"/>
      <c r="DD873" s="31"/>
      <c r="DE873" s="31"/>
      <c r="DF873" s="31"/>
      <c r="DG873" s="31"/>
      <c r="DH873" s="31"/>
      <c r="DI873" s="31"/>
      <c r="DJ873" s="31"/>
      <c r="DK873" s="31"/>
      <c r="DL873" s="31"/>
      <c r="DM873" s="31"/>
      <c r="DN873" s="31"/>
      <c r="DO873" s="31"/>
      <c r="DP873" s="31"/>
      <c r="DQ873" s="31"/>
      <c r="DR873" s="31"/>
      <c r="DS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  <c r="CX874" s="31"/>
      <c r="CY874" s="31"/>
      <c r="CZ874" s="31"/>
      <c r="DA874" s="31"/>
      <c r="DB874" s="31"/>
      <c r="DC874" s="31"/>
      <c r="DD874" s="31"/>
      <c r="DE874" s="31"/>
      <c r="DF874" s="31"/>
      <c r="DG874" s="31"/>
      <c r="DH874" s="31"/>
      <c r="DI874" s="31"/>
      <c r="DJ874" s="31"/>
      <c r="DK874" s="31"/>
      <c r="DL874" s="31"/>
      <c r="DM874" s="31"/>
      <c r="DN874" s="31"/>
      <c r="DO874" s="31"/>
      <c r="DP874" s="31"/>
      <c r="DQ874" s="31"/>
      <c r="DR874" s="31"/>
      <c r="DS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  <c r="CX875" s="31"/>
      <c r="CY875" s="31"/>
      <c r="CZ875" s="31"/>
      <c r="DA875" s="31"/>
      <c r="DB875" s="31"/>
      <c r="DC875" s="31"/>
      <c r="DD875" s="31"/>
      <c r="DE875" s="31"/>
      <c r="DF875" s="31"/>
      <c r="DG875" s="31"/>
      <c r="DH875" s="31"/>
      <c r="DI875" s="31"/>
      <c r="DJ875" s="31"/>
      <c r="DK875" s="31"/>
      <c r="DL875" s="31"/>
      <c r="DM875" s="31"/>
      <c r="DN875" s="31"/>
      <c r="DO875" s="31"/>
      <c r="DP875" s="31"/>
      <c r="DQ875" s="31"/>
      <c r="DR875" s="31"/>
      <c r="DS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  <c r="CX876" s="31"/>
      <c r="CY876" s="31"/>
      <c r="CZ876" s="31"/>
      <c r="DA876" s="31"/>
      <c r="DB876" s="31"/>
      <c r="DC876" s="31"/>
      <c r="DD876" s="31"/>
      <c r="DE876" s="31"/>
      <c r="DF876" s="31"/>
      <c r="DG876" s="31"/>
      <c r="DH876" s="31"/>
      <c r="DI876" s="31"/>
      <c r="DJ876" s="31"/>
      <c r="DK876" s="31"/>
      <c r="DL876" s="31"/>
      <c r="DM876" s="31"/>
      <c r="DN876" s="31"/>
      <c r="DO876" s="31"/>
      <c r="DP876" s="31"/>
      <c r="DQ876" s="31"/>
      <c r="DR876" s="31"/>
      <c r="DS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  <c r="CX877" s="31"/>
      <c r="CY877" s="31"/>
      <c r="CZ877" s="31"/>
      <c r="DA877" s="31"/>
      <c r="DB877" s="31"/>
      <c r="DC877" s="31"/>
      <c r="DD877" s="31"/>
      <c r="DE877" s="31"/>
      <c r="DF877" s="31"/>
      <c r="DG877" s="31"/>
      <c r="DH877" s="31"/>
      <c r="DI877" s="31"/>
      <c r="DJ877" s="31"/>
      <c r="DK877" s="31"/>
      <c r="DL877" s="31"/>
      <c r="DM877" s="31"/>
      <c r="DN877" s="31"/>
      <c r="DO877" s="31"/>
      <c r="DP877" s="31"/>
      <c r="DQ877" s="31"/>
      <c r="DR877" s="31"/>
      <c r="DS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  <c r="CX878" s="31"/>
      <c r="CY878" s="31"/>
      <c r="CZ878" s="31"/>
      <c r="DA878" s="31"/>
      <c r="DB878" s="31"/>
      <c r="DC878" s="31"/>
      <c r="DD878" s="31"/>
      <c r="DE878" s="31"/>
      <c r="DF878" s="31"/>
      <c r="DG878" s="31"/>
      <c r="DH878" s="31"/>
      <c r="DI878" s="31"/>
      <c r="DJ878" s="31"/>
      <c r="DK878" s="31"/>
      <c r="DL878" s="31"/>
      <c r="DM878" s="31"/>
      <c r="DN878" s="31"/>
      <c r="DO878" s="31"/>
      <c r="DP878" s="31"/>
      <c r="DQ878" s="31"/>
      <c r="DR878" s="31"/>
      <c r="DS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  <c r="CX879" s="31"/>
      <c r="CY879" s="31"/>
      <c r="CZ879" s="31"/>
      <c r="DA879" s="31"/>
      <c r="DB879" s="31"/>
      <c r="DC879" s="31"/>
      <c r="DD879" s="31"/>
      <c r="DE879" s="31"/>
      <c r="DF879" s="31"/>
      <c r="DG879" s="31"/>
      <c r="DH879" s="31"/>
      <c r="DI879" s="31"/>
      <c r="DJ879" s="31"/>
      <c r="DK879" s="31"/>
      <c r="DL879" s="31"/>
      <c r="DM879" s="31"/>
      <c r="DN879" s="31"/>
      <c r="DO879" s="31"/>
      <c r="DP879" s="31"/>
      <c r="DQ879" s="31"/>
      <c r="DR879" s="31"/>
      <c r="DS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  <c r="CX880" s="31"/>
      <c r="CY880" s="31"/>
      <c r="CZ880" s="31"/>
      <c r="DA880" s="31"/>
      <c r="DB880" s="31"/>
      <c r="DC880" s="31"/>
      <c r="DD880" s="31"/>
      <c r="DE880" s="31"/>
      <c r="DF880" s="31"/>
      <c r="DG880" s="31"/>
      <c r="DH880" s="31"/>
      <c r="DI880" s="31"/>
      <c r="DJ880" s="31"/>
      <c r="DK880" s="31"/>
      <c r="DL880" s="31"/>
      <c r="DM880" s="31"/>
      <c r="DN880" s="31"/>
      <c r="DO880" s="31"/>
      <c r="DP880" s="31"/>
      <c r="DQ880" s="31"/>
      <c r="DR880" s="31"/>
      <c r="DS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  <c r="DC881" s="31"/>
      <c r="DD881" s="31"/>
      <c r="DE881" s="31"/>
      <c r="DF881" s="31"/>
      <c r="DG881" s="31"/>
      <c r="DH881" s="31"/>
      <c r="DI881" s="31"/>
      <c r="DJ881" s="31"/>
      <c r="DK881" s="31"/>
      <c r="DL881" s="31"/>
      <c r="DM881" s="31"/>
      <c r="DN881" s="31"/>
      <c r="DO881" s="31"/>
      <c r="DP881" s="31"/>
      <c r="DQ881" s="31"/>
      <c r="DR881" s="31"/>
      <c r="DS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  <c r="CX882" s="31"/>
      <c r="CY882" s="31"/>
      <c r="CZ882" s="31"/>
      <c r="DA882" s="31"/>
      <c r="DB882" s="31"/>
      <c r="DC882" s="31"/>
      <c r="DD882" s="31"/>
      <c r="DE882" s="31"/>
      <c r="DF882" s="31"/>
      <c r="DG882" s="31"/>
      <c r="DH882" s="31"/>
      <c r="DI882" s="31"/>
      <c r="DJ882" s="31"/>
      <c r="DK882" s="31"/>
      <c r="DL882" s="31"/>
      <c r="DM882" s="31"/>
      <c r="DN882" s="31"/>
      <c r="DO882" s="31"/>
      <c r="DP882" s="31"/>
      <c r="DQ882" s="31"/>
      <c r="DR882" s="31"/>
      <c r="DS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  <c r="CX883" s="31"/>
      <c r="CY883" s="31"/>
      <c r="CZ883" s="31"/>
      <c r="DA883" s="31"/>
      <c r="DB883" s="31"/>
      <c r="DC883" s="31"/>
      <c r="DD883" s="31"/>
      <c r="DE883" s="31"/>
      <c r="DF883" s="31"/>
      <c r="DG883" s="31"/>
      <c r="DH883" s="31"/>
      <c r="DI883" s="31"/>
      <c r="DJ883" s="31"/>
      <c r="DK883" s="31"/>
      <c r="DL883" s="31"/>
      <c r="DM883" s="31"/>
      <c r="DN883" s="31"/>
      <c r="DO883" s="31"/>
      <c r="DP883" s="31"/>
      <c r="DQ883" s="31"/>
      <c r="DR883" s="31"/>
      <c r="DS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  <c r="CX884" s="31"/>
      <c r="CY884" s="31"/>
      <c r="CZ884" s="31"/>
      <c r="DA884" s="31"/>
      <c r="DB884" s="31"/>
      <c r="DC884" s="31"/>
      <c r="DD884" s="31"/>
      <c r="DE884" s="31"/>
      <c r="DF884" s="31"/>
      <c r="DG884" s="31"/>
      <c r="DH884" s="31"/>
      <c r="DI884" s="31"/>
      <c r="DJ884" s="31"/>
      <c r="DK884" s="31"/>
      <c r="DL884" s="31"/>
      <c r="DM884" s="31"/>
      <c r="DN884" s="31"/>
      <c r="DO884" s="31"/>
      <c r="DP884" s="31"/>
      <c r="DQ884" s="31"/>
      <c r="DR884" s="31"/>
      <c r="DS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  <c r="CX885" s="31"/>
      <c r="CY885" s="31"/>
      <c r="CZ885" s="31"/>
      <c r="DA885" s="31"/>
      <c r="DB885" s="31"/>
      <c r="DC885" s="31"/>
      <c r="DD885" s="31"/>
      <c r="DE885" s="31"/>
      <c r="DF885" s="31"/>
      <c r="DG885" s="31"/>
      <c r="DH885" s="31"/>
      <c r="DI885" s="31"/>
      <c r="DJ885" s="31"/>
      <c r="DK885" s="31"/>
      <c r="DL885" s="31"/>
      <c r="DM885" s="31"/>
      <c r="DN885" s="31"/>
      <c r="DO885" s="31"/>
      <c r="DP885" s="31"/>
      <c r="DQ885" s="31"/>
      <c r="DR885" s="31"/>
      <c r="DS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  <c r="CX886" s="31"/>
      <c r="CY886" s="31"/>
      <c r="CZ886" s="31"/>
      <c r="DA886" s="31"/>
      <c r="DB886" s="31"/>
      <c r="DC886" s="31"/>
      <c r="DD886" s="31"/>
      <c r="DE886" s="31"/>
      <c r="DF886" s="31"/>
      <c r="DG886" s="31"/>
      <c r="DH886" s="31"/>
      <c r="DI886" s="31"/>
      <c r="DJ886" s="31"/>
      <c r="DK886" s="31"/>
      <c r="DL886" s="31"/>
      <c r="DM886" s="31"/>
      <c r="DN886" s="31"/>
      <c r="DO886" s="31"/>
      <c r="DP886" s="31"/>
      <c r="DQ886" s="31"/>
      <c r="DR886" s="31"/>
      <c r="DS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  <c r="CX887" s="31"/>
      <c r="CY887" s="31"/>
      <c r="CZ887" s="31"/>
      <c r="DA887" s="31"/>
      <c r="DB887" s="31"/>
      <c r="DC887" s="31"/>
      <c r="DD887" s="31"/>
      <c r="DE887" s="31"/>
      <c r="DF887" s="31"/>
      <c r="DG887" s="31"/>
      <c r="DH887" s="31"/>
      <c r="DI887" s="31"/>
      <c r="DJ887" s="31"/>
      <c r="DK887" s="31"/>
      <c r="DL887" s="31"/>
      <c r="DM887" s="31"/>
      <c r="DN887" s="31"/>
      <c r="DO887" s="31"/>
      <c r="DP887" s="31"/>
      <c r="DQ887" s="31"/>
      <c r="DR887" s="31"/>
      <c r="DS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  <c r="CX888" s="31"/>
      <c r="CY888" s="31"/>
      <c r="CZ888" s="31"/>
      <c r="DA888" s="31"/>
      <c r="DB888" s="31"/>
      <c r="DC888" s="31"/>
      <c r="DD888" s="31"/>
      <c r="DE888" s="31"/>
      <c r="DF888" s="31"/>
      <c r="DG888" s="31"/>
      <c r="DH888" s="31"/>
      <c r="DI888" s="31"/>
      <c r="DJ888" s="31"/>
      <c r="DK888" s="31"/>
      <c r="DL888" s="31"/>
      <c r="DM888" s="31"/>
      <c r="DN888" s="31"/>
      <c r="DO888" s="31"/>
      <c r="DP888" s="31"/>
      <c r="DQ888" s="31"/>
      <c r="DR888" s="31"/>
      <c r="DS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  <c r="CX889" s="31"/>
      <c r="CY889" s="31"/>
      <c r="CZ889" s="31"/>
      <c r="DA889" s="31"/>
      <c r="DB889" s="31"/>
      <c r="DC889" s="31"/>
      <c r="DD889" s="31"/>
      <c r="DE889" s="31"/>
      <c r="DF889" s="31"/>
      <c r="DG889" s="31"/>
      <c r="DH889" s="31"/>
      <c r="DI889" s="31"/>
      <c r="DJ889" s="31"/>
      <c r="DK889" s="31"/>
      <c r="DL889" s="31"/>
      <c r="DM889" s="31"/>
      <c r="DN889" s="31"/>
      <c r="DO889" s="31"/>
      <c r="DP889" s="31"/>
      <c r="DQ889" s="31"/>
      <c r="DR889" s="31"/>
      <c r="DS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  <c r="CX890" s="31"/>
      <c r="CY890" s="31"/>
      <c r="CZ890" s="31"/>
      <c r="DA890" s="31"/>
      <c r="DB890" s="31"/>
      <c r="DC890" s="31"/>
      <c r="DD890" s="31"/>
      <c r="DE890" s="31"/>
      <c r="DF890" s="31"/>
      <c r="DG890" s="31"/>
      <c r="DH890" s="31"/>
      <c r="DI890" s="31"/>
      <c r="DJ890" s="31"/>
      <c r="DK890" s="31"/>
      <c r="DL890" s="31"/>
      <c r="DM890" s="31"/>
      <c r="DN890" s="31"/>
      <c r="DO890" s="31"/>
      <c r="DP890" s="31"/>
      <c r="DQ890" s="31"/>
      <c r="DR890" s="31"/>
      <c r="DS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  <c r="CX891" s="31"/>
      <c r="CY891" s="31"/>
      <c r="CZ891" s="31"/>
      <c r="DA891" s="31"/>
      <c r="DB891" s="31"/>
      <c r="DC891" s="31"/>
      <c r="DD891" s="31"/>
      <c r="DE891" s="31"/>
      <c r="DF891" s="31"/>
      <c r="DG891" s="31"/>
      <c r="DH891" s="31"/>
      <c r="DI891" s="31"/>
      <c r="DJ891" s="31"/>
      <c r="DK891" s="31"/>
      <c r="DL891" s="31"/>
      <c r="DM891" s="31"/>
      <c r="DN891" s="31"/>
      <c r="DO891" s="31"/>
      <c r="DP891" s="31"/>
      <c r="DQ891" s="31"/>
      <c r="DR891" s="31"/>
      <c r="DS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  <c r="CX892" s="31"/>
      <c r="CY892" s="31"/>
      <c r="CZ892" s="31"/>
      <c r="DA892" s="31"/>
      <c r="DB892" s="31"/>
      <c r="DC892" s="31"/>
      <c r="DD892" s="31"/>
      <c r="DE892" s="31"/>
      <c r="DF892" s="31"/>
      <c r="DG892" s="31"/>
      <c r="DH892" s="31"/>
      <c r="DI892" s="31"/>
      <c r="DJ892" s="31"/>
      <c r="DK892" s="31"/>
      <c r="DL892" s="31"/>
      <c r="DM892" s="31"/>
      <c r="DN892" s="31"/>
      <c r="DO892" s="31"/>
      <c r="DP892" s="31"/>
      <c r="DQ892" s="31"/>
      <c r="DR892" s="31"/>
      <c r="DS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  <c r="CX893" s="31"/>
      <c r="CY893" s="31"/>
      <c r="CZ893" s="31"/>
      <c r="DA893" s="31"/>
      <c r="DB893" s="31"/>
      <c r="DC893" s="31"/>
      <c r="DD893" s="31"/>
      <c r="DE893" s="31"/>
      <c r="DF893" s="31"/>
      <c r="DG893" s="31"/>
      <c r="DH893" s="31"/>
      <c r="DI893" s="31"/>
      <c r="DJ893" s="31"/>
      <c r="DK893" s="31"/>
      <c r="DL893" s="31"/>
      <c r="DM893" s="31"/>
      <c r="DN893" s="31"/>
      <c r="DO893" s="31"/>
      <c r="DP893" s="31"/>
      <c r="DQ893" s="31"/>
      <c r="DR893" s="31"/>
      <c r="DS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  <c r="CX894" s="31"/>
      <c r="CY894" s="31"/>
      <c r="CZ894" s="31"/>
      <c r="DA894" s="31"/>
      <c r="DB894" s="31"/>
      <c r="DC894" s="31"/>
      <c r="DD894" s="31"/>
      <c r="DE894" s="31"/>
      <c r="DF894" s="31"/>
      <c r="DG894" s="31"/>
      <c r="DH894" s="31"/>
      <c r="DI894" s="31"/>
      <c r="DJ894" s="31"/>
      <c r="DK894" s="31"/>
      <c r="DL894" s="31"/>
      <c r="DM894" s="31"/>
      <c r="DN894" s="31"/>
      <c r="DO894" s="31"/>
      <c r="DP894" s="31"/>
      <c r="DQ894" s="31"/>
      <c r="DR894" s="31"/>
      <c r="DS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  <c r="CX895" s="31"/>
      <c r="CY895" s="31"/>
      <c r="CZ895" s="31"/>
      <c r="DA895" s="31"/>
      <c r="DB895" s="31"/>
      <c r="DC895" s="31"/>
      <c r="DD895" s="31"/>
      <c r="DE895" s="31"/>
      <c r="DF895" s="31"/>
      <c r="DG895" s="31"/>
      <c r="DH895" s="31"/>
      <c r="DI895" s="31"/>
      <c r="DJ895" s="31"/>
      <c r="DK895" s="31"/>
      <c r="DL895" s="31"/>
      <c r="DM895" s="31"/>
      <c r="DN895" s="31"/>
      <c r="DO895" s="31"/>
      <c r="DP895" s="31"/>
      <c r="DQ895" s="31"/>
      <c r="DR895" s="31"/>
      <c r="DS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  <c r="CX896" s="31"/>
      <c r="CY896" s="31"/>
      <c r="CZ896" s="31"/>
      <c r="DA896" s="31"/>
      <c r="DB896" s="31"/>
      <c r="DC896" s="31"/>
      <c r="DD896" s="31"/>
      <c r="DE896" s="31"/>
      <c r="DF896" s="31"/>
      <c r="DG896" s="31"/>
      <c r="DH896" s="31"/>
      <c r="DI896" s="31"/>
      <c r="DJ896" s="31"/>
      <c r="DK896" s="31"/>
      <c r="DL896" s="31"/>
      <c r="DM896" s="31"/>
      <c r="DN896" s="31"/>
      <c r="DO896" s="31"/>
      <c r="DP896" s="31"/>
      <c r="DQ896" s="31"/>
      <c r="DR896" s="31"/>
      <c r="DS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  <c r="CX897" s="31"/>
      <c r="CY897" s="31"/>
      <c r="CZ897" s="31"/>
      <c r="DA897" s="31"/>
      <c r="DB897" s="31"/>
      <c r="DC897" s="31"/>
      <c r="DD897" s="31"/>
      <c r="DE897" s="31"/>
      <c r="DF897" s="31"/>
      <c r="DG897" s="31"/>
      <c r="DH897" s="31"/>
      <c r="DI897" s="31"/>
      <c r="DJ897" s="31"/>
      <c r="DK897" s="31"/>
      <c r="DL897" s="31"/>
      <c r="DM897" s="31"/>
      <c r="DN897" s="31"/>
      <c r="DO897" s="31"/>
      <c r="DP897" s="31"/>
      <c r="DQ897" s="31"/>
      <c r="DR897" s="31"/>
      <c r="DS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  <c r="DC898" s="31"/>
      <c r="DD898" s="31"/>
      <c r="DE898" s="31"/>
      <c r="DF898" s="31"/>
      <c r="DG898" s="31"/>
      <c r="DH898" s="31"/>
      <c r="DI898" s="31"/>
      <c r="DJ898" s="31"/>
      <c r="DK898" s="31"/>
      <c r="DL898" s="31"/>
      <c r="DM898" s="31"/>
      <c r="DN898" s="31"/>
      <c r="DO898" s="31"/>
      <c r="DP898" s="31"/>
      <c r="DQ898" s="31"/>
      <c r="DR898" s="31"/>
      <c r="DS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  <c r="CX899" s="31"/>
      <c r="CY899" s="31"/>
      <c r="CZ899" s="31"/>
      <c r="DA899" s="31"/>
      <c r="DB899" s="31"/>
      <c r="DC899" s="31"/>
      <c r="DD899" s="31"/>
      <c r="DE899" s="31"/>
      <c r="DF899" s="31"/>
      <c r="DG899" s="31"/>
      <c r="DH899" s="31"/>
      <c r="DI899" s="31"/>
      <c r="DJ899" s="31"/>
      <c r="DK899" s="31"/>
      <c r="DL899" s="31"/>
      <c r="DM899" s="31"/>
      <c r="DN899" s="31"/>
      <c r="DO899" s="31"/>
      <c r="DP899" s="31"/>
      <c r="DQ899" s="31"/>
      <c r="DR899" s="31"/>
      <c r="DS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  <c r="CX900" s="31"/>
      <c r="CY900" s="31"/>
      <c r="CZ900" s="31"/>
      <c r="DA900" s="31"/>
      <c r="DB900" s="31"/>
      <c r="DC900" s="31"/>
      <c r="DD900" s="31"/>
      <c r="DE900" s="31"/>
      <c r="DF900" s="31"/>
      <c r="DG900" s="31"/>
      <c r="DH900" s="31"/>
      <c r="DI900" s="31"/>
      <c r="DJ900" s="31"/>
      <c r="DK900" s="31"/>
      <c r="DL900" s="31"/>
      <c r="DM900" s="31"/>
      <c r="DN900" s="31"/>
      <c r="DO900" s="31"/>
      <c r="DP900" s="31"/>
      <c r="DQ900" s="31"/>
      <c r="DR900" s="31"/>
      <c r="DS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  <c r="CX901" s="31"/>
      <c r="CY901" s="31"/>
      <c r="CZ901" s="31"/>
      <c r="DA901" s="31"/>
      <c r="DB901" s="31"/>
      <c r="DC901" s="31"/>
      <c r="DD901" s="31"/>
      <c r="DE901" s="31"/>
      <c r="DF901" s="31"/>
      <c r="DG901" s="31"/>
      <c r="DH901" s="31"/>
      <c r="DI901" s="31"/>
      <c r="DJ901" s="31"/>
      <c r="DK901" s="31"/>
      <c r="DL901" s="31"/>
      <c r="DM901" s="31"/>
      <c r="DN901" s="31"/>
      <c r="DO901" s="31"/>
      <c r="DP901" s="31"/>
      <c r="DQ901" s="31"/>
      <c r="DR901" s="31"/>
      <c r="DS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  <c r="CX902" s="31"/>
      <c r="CY902" s="31"/>
      <c r="CZ902" s="31"/>
      <c r="DA902" s="31"/>
      <c r="DB902" s="31"/>
      <c r="DC902" s="31"/>
      <c r="DD902" s="31"/>
      <c r="DE902" s="31"/>
      <c r="DF902" s="31"/>
      <c r="DG902" s="31"/>
      <c r="DH902" s="31"/>
      <c r="DI902" s="31"/>
      <c r="DJ902" s="31"/>
      <c r="DK902" s="31"/>
      <c r="DL902" s="31"/>
      <c r="DM902" s="31"/>
      <c r="DN902" s="31"/>
      <c r="DO902" s="31"/>
      <c r="DP902" s="31"/>
      <c r="DQ902" s="31"/>
      <c r="DR902" s="31"/>
      <c r="DS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  <c r="CX903" s="31"/>
      <c r="CY903" s="31"/>
      <c r="CZ903" s="31"/>
      <c r="DA903" s="31"/>
      <c r="DB903" s="31"/>
      <c r="DC903" s="31"/>
      <c r="DD903" s="31"/>
      <c r="DE903" s="31"/>
      <c r="DF903" s="31"/>
      <c r="DG903" s="31"/>
      <c r="DH903" s="31"/>
      <c r="DI903" s="31"/>
      <c r="DJ903" s="31"/>
      <c r="DK903" s="31"/>
      <c r="DL903" s="31"/>
      <c r="DM903" s="31"/>
      <c r="DN903" s="31"/>
      <c r="DO903" s="31"/>
      <c r="DP903" s="31"/>
      <c r="DQ903" s="31"/>
      <c r="DR903" s="31"/>
      <c r="DS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  <c r="CX904" s="31"/>
      <c r="CY904" s="31"/>
      <c r="CZ904" s="31"/>
      <c r="DA904" s="31"/>
      <c r="DB904" s="31"/>
      <c r="DC904" s="31"/>
      <c r="DD904" s="31"/>
      <c r="DE904" s="31"/>
      <c r="DF904" s="31"/>
      <c r="DG904" s="31"/>
      <c r="DH904" s="31"/>
      <c r="DI904" s="31"/>
      <c r="DJ904" s="31"/>
      <c r="DK904" s="31"/>
      <c r="DL904" s="31"/>
      <c r="DM904" s="31"/>
      <c r="DN904" s="31"/>
      <c r="DO904" s="31"/>
      <c r="DP904" s="31"/>
      <c r="DQ904" s="31"/>
      <c r="DR904" s="31"/>
      <c r="DS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  <c r="CX905" s="31"/>
      <c r="CY905" s="31"/>
      <c r="CZ905" s="31"/>
      <c r="DA905" s="31"/>
      <c r="DB905" s="31"/>
      <c r="DC905" s="31"/>
      <c r="DD905" s="31"/>
      <c r="DE905" s="31"/>
      <c r="DF905" s="31"/>
      <c r="DG905" s="31"/>
      <c r="DH905" s="31"/>
      <c r="DI905" s="31"/>
      <c r="DJ905" s="31"/>
      <c r="DK905" s="31"/>
      <c r="DL905" s="31"/>
      <c r="DM905" s="31"/>
      <c r="DN905" s="31"/>
      <c r="DO905" s="31"/>
      <c r="DP905" s="31"/>
      <c r="DQ905" s="31"/>
      <c r="DR905" s="31"/>
      <c r="DS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  <c r="CX906" s="31"/>
      <c r="CY906" s="31"/>
      <c r="CZ906" s="31"/>
      <c r="DA906" s="31"/>
      <c r="DB906" s="31"/>
      <c r="DC906" s="31"/>
      <c r="DD906" s="31"/>
      <c r="DE906" s="31"/>
      <c r="DF906" s="31"/>
      <c r="DG906" s="31"/>
      <c r="DH906" s="31"/>
      <c r="DI906" s="31"/>
      <c r="DJ906" s="31"/>
      <c r="DK906" s="31"/>
      <c r="DL906" s="31"/>
      <c r="DM906" s="31"/>
      <c r="DN906" s="31"/>
      <c r="DO906" s="31"/>
      <c r="DP906" s="31"/>
      <c r="DQ906" s="31"/>
      <c r="DR906" s="31"/>
      <c r="DS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  <c r="CX907" s="31"/>
      <c r="CY907" s="31"/>
      <c r="CZ907" s="31"/>
      <c r="DA907" s="31"/>
      <c r="DB907" s="31"/>
      <c r="DC907" s="31"/>
      <c r="DD907" s="31"/>
      <c r="DE907" s="31"/>
      <c r="DF907" s="31"/>
      <c r="DG907" s="31"/>
      <c r="DH907" s="31"/>
      <c r="DI907" s="31"/>
      <c r="DJ907" s="31"/>
      <c r="DK907" s="31"/>
      <c r="DL907" s="31"/>
      <c r="DM907" s="31"/>
      <c r="DN907" s="31"/>
      <c r="DO907" s="31"/>
      <c r="DP907" s="31"/>
      <c r="DQ907" s="31"/>
      <c r="DR907" s="31"/>
      <c r="DS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  <c r="CX908" s="31"/>
      <c r="CY908" s="31"/>
      <c r="CZ908" s="31"/>
      <c r="DA908" s="31"/>
      <c r="DB908" s="31"/>
      <c r="DC908" s="31"/>
      <c r="DD908" s="31"/>
      <c r="DE908" s="31"/>
      <c r="DF908" s="31"/>
      <c r="DG908" s="31"/>
      <c r="DH908" s="31"/>
      <c r="DI908" s="31"/>
      <c r="DJ908" s="31"/>
      <c r="DK908" s="31"/>
      <c r="DL908" s="31"/>
      <c r="DM908" s="31"/>
      <c r="DN908" s="31"/>
      <c r="DO908" s="31"/>
      <c r="DP908" s="31"/>
      <c r="DQ908" s="31"/>
      <c r="DR908" s="31"/>
      <c r="DS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  <c r="CX909" s="31"/>
      <c r="CY909" s="31"/>
      <c r="CZ909" s="31"/>
      <c r="DA909" s="31"/>
      <c r="DB909" s="31"/>
      <c r="DC909" s="31"/>
      <c r="DD909" s="31"/>
      <c r="DE909" s="31"/>
      <c r="DF909" s="31"/>
      <c r="DG909" s="31"/>
      <c r="DH909" s="31"/>
      <c r="DI909" s="31"/>
      <c r="DJ909" s="31"/>
      <c r="DK909" s="31"/>
      <c r="DL909" s="31"/>
      <c r="DM909" s="31"/>
      <c r="DN909" s="31"/>
      <c r="DO909" s="31"/>
      <c r="DP909" s="31"/>
      <c r="DQ909" s="31"/>
      <c r="DR909" s="31"/>
      <c r="DS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  <c r="CX910" s="31"/>
      <c r="CY910" s="31"/>
      <c r="CZ910" s="31"/>
      <c r="DA910" s="31"/>
      <c r="DB910" s="31"/>
      <c r="DC910" s="31"/>
      <c r="DD910" s="31"/>
      <c r="DE910" s="31"/>
      <c r="DF910" s="31"/>
      <c r="DG910" s="31"/>
      <c r="DH910" s="31"/>
      <c r="DI910" s="31"/>
      <c r="DJ910" s="31"/>
      <c r="DK910" s="31"/>
      <c r="DL910" s="31"/>
      <c r="DM910" s="31"/>
      <c r="DN910" s="31"/>
      <c r="DO910" s="31"/>
      <c r="DP910" s="31"/>
      <c r="DQ910" s="31"/>
      <c r="DR910" s="31"/>
      <c r="DS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  <c r="CX911" s="31"/>
      <c r="CY911" s="31"/>
      <c r="CZ911" s="31"/>
      <c r="DA911" s="31"/>
      <c r="DB911" s="31"/>
      <c r="DC911" s="31"/>
      <c r="DD911" s="31"/>
      <c r="DE911" s="31"/>
      <c r="DF911" s="31"/>
      <c r="DG911" s="31"/>
      <c r="DH911" s="31"/>
      <c r="DI911" s="31"/>
      <c r="DJ911" s="31"/>
      <c r="DK911" s="31"/>
      <c r="DL911" s="31"/>
      <c r="DM911" s="31"/>
      <c r="DN911" s="31"/>
      <c r="DO911" s="31"/>
      <c r="DP911" s="31"/>
      <c r="DQ911" s="31"/>
      <c r="DR911" s="31"/>
      <c r="DS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  <c r="CX912" s="31"/>
      <c r="CY912" s="31"/>
      <c r="CZ912" s="31"/>
      <c r="DA912" s="31"/>
      <c r="DB912" s="31"/>
      <c r="DC912" s="31"/>
      <c r="DD912" s="31"/>
      <c r="DE912" s="31"/>
      <c r="DF912" s="31"/>
      <c r="DG912" s="31"/>
      <c r="DH912" s="31"/>
      <c r="DI912" s="31"/>
      <c r="DJ912" s="31"/>
      <c r="DK912" s="31"/>
      <c r="DL912" s="31"/>
      <c r="DM912" s="31"/>
      <c r="DN912" s="31"/>
      <c r="DO912" s="31"/>
      <c r="DP912" s="31"/>
      <c r="DQ912" s="31"/>
      <c r="DR912" s="31"/>
      <c r="DS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  <c r="CX913" s="31"/>
      <c r="CY913" s="31"/>
      <c r="CZ913" s="31"/>
      <c r="DA913" s="31"/>
      <c r="DB913" s="31"/>
      <c r="DC913" s="31"/>
      <c r="DD913" s="31"/>
      <c r="DE913" s="31"/>
      <c r="DF913" s="31"/>
      <c r="DG913" s="31"/>
      <c r="DH913" s="31"/>
      <c r="DI913" s="31"/>
      <c r="DJ913" s="31"/>
      <c r="DK913" s="31"/>
      <c r="DL913" s="31"/>
      <c r="DM913" s="31"/>
      <c r="DN913" s="31"/>
      <c r="DO913" s="31"/>
      <c r="DP913" s="31"/>
      <c r="DQ913" s="31"/>
      <c r="DR913" s="31"/>
      <c r="DS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  <c r="CX914" s="31"/>
      <c r="CY914" s="31"/>
      <c r="CZ914" s="31"/>
      <c r="DA914" s="31"/>
      <c r="DB914" s="31"/>
      <c r="DC914" s="31"/>
      <c r="DD914" s="31"/>
      <c r="DE914" s="31"/>
      <c r="DF914" s="31"/>
      <c r="DG914" s="31"/>
      <c r="DH914" s="31"/>
      <c r="DI914" s="31"/>
      <c r="DJ914" s="31"/>
      <c r="DK914" s="31"/>
      <c r="DL914" s="31"/>
      <c r="DM914" s="31"/>
      <c r="DN914" s="31"/>
      <c r="DO914" s="31"/>
      <c r="DP914" s="31"/>
      <c r="DQ914" s="31"/>
      <c r="DR914" s="31"/>
      <c r="DS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  <c r="CX915" s="31"/>
      <c r="CY915" s="31"/>
      <c r="CZ915" s="31"/>
      <c r="DA915" s="31"/>
      <c r="DB915" s="31"/>
      <c r="DC915" s="31"/>
      <c r="DD915" s="31"/>
      <c r="DE915" s="31"/>
      <c r="DF915" s="31"/>
      <c r="DG915" s="31"/>
      <c r="DH915" s="31"/>
      <c r="DI915" s="31"/>
      <c r="DJ915" s="31"/>
      <c r="DK915" s="31"/>
      <c r="DL915" s="31"/>
      <c r="DM915" s="31"/>
      <c r="DN915" s="31"/>
      <c r="DO915" s="31"/>
      <c r="DP915" s="31"/>
      <c r="DQ915" s="31"/>
      <c r="DR915" s="31"/>
      <c r="DS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/>
      <c r="DB916" s="31"/>
      <c r="DC916" s="31"/>
      <c r="DD916" s="31"/>
      <c r="DE916" s="31"/>
      <c r="DF916" s="31"/>
      <c r="DG916" s="31"/>
      <c r="DH916" s="31"/>
      <c r="DI916" s="31"/>
      <c r="DJ916" s="31"/>
      <c r="DK916" s="31"/>
      <c r="DL916" s="31"/>
      <c r="DM916" s="31"/>
      <c r="DN916" s="31"/>
      <c r="DO916" s="31"/>
      <c r="DP916" s="31"/>
      <c r="DQ916" s="31"/>
      <c r="DR916" s="31"/>
      <c r="DS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  <c r="CX917" s="31"/>
      <c r="CY917" s="31"/>
      <c r="CZ917" s="31"/>
      <c r="DA917" s="31"/>
      <c r="DB917" s="31"/>
      <c r="DC917" s="31"/>
      <c r="DD917" s="31"/>
      <c r="DE917" s="31"/>
      <c r="DF917" s="31"/>
      <c r="DG917" s="31"/>
      <c r="DH917" s="31"/>
      <c r="DI917" s="31"/>
      <c r="DJ917" s="31"/>
      <c r="DK917" s="31"/>
      <c r="DL917" s="31"/>
      <c r="DM917" s="31"/>
      <c r="DN917" s="31"/>
      <c r="DO917" s="31"/>
      <c r="DP917" s="31"/>
      <c r="DQ917" s="31"/>
      <c r="DR917" s="31"/>
      <c r="DS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  <c r="CV918" s="31"/>
      <c r="CW918" s="31"/>
      <c r="CX918" s="31"/>
      <c r="CY918" s="31"/>
      <c r="CZ918" s="31"/>
      <c r="DA918" s="31"/>
      <c r="DB918" s="31"/>
      <c r="DC918" s="31"/>
      <c r="DD918" s="31"/>
      <c r="DE918" s="31"/>
      <c r="DF918" s="31"/>
      <c r="DG918" s="31"/>
      <c r="DH918" s="31"/>
      <c r="DI918" s="31"/>
      <c r="DJ918" s="31"/>
      <c r="DK918" s="31"/>
      <c r="DL918" s="31"/>
      <c r="DM918" s="31"/>
      <c r="DN918" s="31"/>
      <c r="DO918" s="31"/>
      <c r="DP918" s="31"/>
      <c r="DQ918" s="31"/>
      <c r="DR918" s="31"/>
      <c r="DS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  <c r="CX919" s="31"/>
      <c r="CY919" s="31"/>
      <c r="CZ919" s="31"/>
      <c r="DA919" s="31"/>
      <c r="DB919" s="31"/>
      <c r="DC919" s="31"/>
      <c r="DD919" s="31"/>
      <c r="DE919" s="31"/>
      <c r="DF919" s="31"/>
      <c r="DG919" s="31"/>
      <c r="DH919" s="31"/>
      <c r="DI919" s="31"/>
      <c r="DJ919" s="31"/>
      <c r="DK919" s="31"/>
      <c r="DL919" s="31"/>
      <c r="DM919" s="31"/>
      <c r="DN919" s="31"/>
      <c r="DO919" s="31"/>
      <c r="DP919" s="31"/>
      <c r="DQ919" s="31"/>
      <c r="DR919" s="31"/>
      <c r="DS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  <c r="CX920" s="31"/>
      <c r="CY920" s="31"/>
      <c r="CZ920" s="31"/>
      <c r="DA920" s="31"/>
      <c r="DB920" s="31"/>
      <c r="DC920" s="31"/>
      <c r="DD920" s="31"/>
      <c r="DE920" s="31"/>
      <c r="DF920" s="31"/>
      <c r="DG920" s="31"/>
      <c r="DH920" s="31"/>
      <c r="DI920" s="31"/>
      <c r="DJ920" s="31"/>
      <c r="DK920" s="31"/>
      <c r="DL920" s="31"/>
      <c r="DM920" s="31"/>
      <c r="DN920" s="31"/>
      <c r="DO920" s="31"/>
      <c r="DP920" s="31"/>
      <c r="DQ920" s="31"/>
      <c r="DR920" s="31"/>
      <c r="DS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  <c r="CV921" s="31"/>
      <c r="CW921" s="31"/>
      <c r="CX921" s="31"/>
      <c r="CY921" s="31"/>
      <c r="CZ921" s="31"/>
      <c r="DA921" s="31"/>
      <c r="DB921" s="31"/>
      <c r="DC921" s="31"/>
      <c r="DD921" s="31"/>
      <c r="DE921" s="31"/>
      <c r="DF921" s="31"/>
      <c r="DG921" s="31"/>
      <c r="DH921" s="31"/>
      <c r="DI921" s="31"/>
      <c r="DJ921" s="31"/>
      <c r="DK921" s="31"/>
      <c r="DL921" s="31"/>
      <c r="DM921" s="31"/>
      <c r="DN921" s="31"/>
      <c r="DO921" s="31"/>
      <c r="DP921" s="31"/>
      <c r="DQ921" s="31"/>
      <c r="DR921" s="31"/>
      <c r="DS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  <c r="CV922" s="31"/>
      <c r="CW922" s="31"/>
      <c r="CX922" s="31"/>
      <c r="CY922" s="31"/>
      <c r="CZ922" s="31"/>
      <c r="DA922" s="31"/>
      <c r="DB922" s="31"/>
      <c r="DC922" s="31"/>
      <c r="DD922" s="31"/>
      <c r="DE922" s="31"/>
      <c r="DF922" s="31"/>
      <c r="DG922" s="31"/>
      <c r="DH922" s="31"/>
      <c r="DI922" s="31"/>
      <c r="DJ922" s="31"/>
      <c r="DK922" s="31"/>
      <c r="DL922" s="31"/>
      <c r="DM922" s="31"/>
      <c r="DN922" s="31"/>
      <c r="DO922" s="31"/>
      <c r="DP922" s="31"/>
      <c r="DQ922" s="31"/>
      <c r="DR922" s="31"/>
      <c r="DS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  <c r="CV923" s="31"/>
      <c r="CW923" s="31"/>
      <c r="CX923" s="31"/>
      <c r="CY923" s="31"/>
      <c r="CZ923" s="31"/>
      <c r="DA923" s="31"/>
      <c r="DB923" s="31"/>
      <c r="DC923" s="31"/>
      <c r="DD923" s="31"/>
      <c r="DE923" s="31"/>
      <c r="DF923" s="31"/>
      <c r="DG923" s="31"/>
      <c r="DH923" s="31"/>
      <c r="DI923" s="31"/>
      <c r="DJ923" s="31"/>
      <c r="DK923" s="31"/>
      <c r="DL923" s="31"/>
      <c r="DM923" s="31"/>
      <c r="DN923" s="31"/>
      <c r="DO923" s="31"/>
      <c r="DP923" s="31"/>
      <c r="DQ923" s="31"/>
      <c r="DR923" s="31"/>
      <c r="DS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  <c r="CV924" s="31"/>
      <c r="CW924" s="31"/>
      <c r="CX924" s="31"/>
      <c r="CY924" s="31"/>
      <c r="CZ924" s="31"/>
      <c r="DA924" s="31"/>
      <c r="DB924" s="31"/>
      <c r="DC924" s="31"/>
      <c r="DD924" s="31"/>
      <c r="DE924" s="31"/>
      <c r="DF924" s="31"/>
      <c r="DG924" s="31"/>
      <c r="DH924" s="31"/>
      <c r="DI924" s="31"/>
      <c r="DJ924" s="31"/>
      <c r="DK924" s="31"/>
      <c r="DL924" s="31"/>
      <c r="DM924" s="31"/>
      <c r="DN924" s="31"/>
      <c r="DO924" s="31"/>
      <c r="DP924" s="31"/>
      <c r="DQ924" s="31"/>
      <c r="DR924" s="31"/>
      <c r="DS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31"/>
      <c r="CW925" s="31"/>
      <c r="CX925" s="31"/>
      <c r="CY925" s="31"/>
      <c r="CZ925" s="31"/>
      <c r="DA925" s="31"/>
      <c r="DB925" s="31"/>
      <c r="DC925" s="31"/>
      <c r="DD925" s="31"/>
      <c r="DE925" s="31"/>
      <c r="DF925" s="31"/>
      <c r="DG925" s="31"/>
      <c r="DH925" s="31"/>
      <c r="DI925" s="31"/>
      <c r="DJ925" s="31"/>
      <c r="DK925" s="31"/>
      <c r="DL925" s="31"/>
      <c r="DM925" s="31"/>
      <c r="DN925" s="31"/>
      <c r="DO925" s="31"/>
      <c r="DP925" s="31"/>
      <c r="DQ925" s="31"/>
      <c r="DR925" s="31"/>
      <c r="DS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31"/>
      <c r="CW926" s="31"/>
      <c r="CX926" s="31"/>
      <c r="CY926" s="31"/>
      <c r="CZ926" s="31"/>
      <c r="DA926" s="31"/>
      <c r="DB926" s="31"/>
      <c r="DC926" s="31"/>
      <c r="DD926" s="31"/>
      <c r="DE926" s="31"/>
      <c r="DF926" s="31"/>
      <c r="DG926" s="31"/>
      <c r="DH926" s="31"/>
      <c r="DI926" s="31"/>
      <c r="DJ926" s="31"/>
      <c r="DK926" s="31"/>
      <c r="DL926" s="31"/>
      <c r="DM926" s="31"/>
      <c r="DN926" s="31"/>
      <c r="DO926" s="31"/>
      <c r="DP926" s="31"/>
      <c r="DQ926" s="31"/>
      <c r="DR926" s="31"/>
      <c r="DS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31"/>
      <c r="CW927" s="31"/>
      <c r="CX927" s="31"/>
      <c r="CY927" s="31"/>
      <c r="CZ927" s="31"/>
      <c r="DA927" s="31"/>
      <c r="DB927" s="31"/>
      <c r="DC927" s="31"/>
      <c r="DD927" s="31"/>
      <c r="DE927" s="31"/>
      <c r="DF927" s="31"/>
      <c r="DG927" s="31"/>
      <c r="DH927" s="31"/>
      <c r="DI927" s="31"/>
      <c r="DJ927" s="31"/>
      <c r="DK927" s="31"/>
      <c r="DL927" s="31"/>
      <c r="DM927" s="31"/>
      <c r="DN927" s="31"/>
      <c r="DO927" s="31"/>
      <c r="DP927" s="31"/>
      <c r="DQ927" s="31"/>
      <c r="DR927" s="31"/>
      <c r="DS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31"/>
      <c r="CW928" s="31"/>
      <c r="CX928" s="31"/>
      <c r="CY928" s="31"/>
      <c r="CZ928" s="31"/>
      <c r="DA928" s="31"/>
      <c r="DB928" s="31"/>
      <c r="DC928" s="31"/>
      <c r="DD928" s="31"/>
      <c r="DE928" s="31"/>
      <c r="DF928" s="31"/>
      <c r="DG928" s="31"/>
      <c r="DH928" s="31"/>
      <c r="DI928" s="31"/>
      <c r="DJ928" s="31"/>
      <c r="DK928" s="31"/>
      <c r="DL928" s="31"/>
      <c r="DM928" s="31"/>
      <c r="DN928" s="31"/>
      <c r="DO928" s="31"/>
      <c r="DP928" s="31"/>
      <c r="DQ928" s="31"/>
      <c r="DR928" s="31"/>
      <c r="DS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  <c r="CX929" s="31"/>
      <c r="CY929" s="31"/>
      <c r="CZ929" s="31"/>
      <c r="DA929" s="31"/>
      <c r="DB929" s="31"/>
      <c r="DC929" s="31"/>
      <c r="DD929" s="31"/>
      <c r="DE929" s="31"/>
      <c r="DF929" s="31"/>
      <c r="DG929" s="31"/>
      <c r="DH929" s="31"/>
      <c r="DI929" s="31"/>
      <c r="DJ929" s="31"/>
      <c r="DK929" s="31"/>
      <c r="DL929" s="31"/>
      <c r="DM929" s="31"/>
      <c r="DN929" s="31"/>
      <c r="DO929" s="31"/>
      <c r="DP929" s="31"/>
      <c r="DQ929" s="31"/>
      <c r="DR929" s="31"/>
      <c r="DS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  <c r="CX930" s="31"/>
      <c r="CY930" s="31"/>
      <c r="CZ930" s="31"/>
      <c r="DA930" s="31"/>
      <c r="DB930" s="31"/>
      <c r="DC930" s="31"/>
      <c r="DD930" s="31"/>
      <c r="DE930" s="31"/>
      <c r="DF930" s="31"/>
      <c r="DG930" s="31"/>
      <c r="DH930" s="31"/>
      <c r="DI930" s="31"/>
      <c r="DJ930" s="31"/>
      <c r="DK930" s="31"/>
      <c r="DL930" s="31"/>
      <c r="DM930" s="31"/>
      <c r="DN930" s="31"/>
      <c r="DO930" s="31"/>
      <c r="DP930" s="31"/>
      <c r="DQ930" s="31"/>
      <c r="DR930" s="31"/>
      <c r="DS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31"/>
      <c r="CW931" s="31"/>
      <c r="CX931" s="31"/>
      <c r="CY931" s="31"/>
      <c r="CZ931" s="31"/>
      <c r="DA931" s="31"/>
      <c r="DB931" s="31"/>
      <c r="DC931" s="31"/>
      <c r="DD931" s="31"/>
      <c r="DE931" s="31"/>
      <c r="DF931" s="31"/>
      <c r="DG931" s="31"/>
      <c r="DH931" s="31"/>
      <c r="DI931" s="31"/>
      <c r="DJ931" s="31"/>
      <c r="DK931" s="31"/>
      <c r="DL931" s="31"/>
      <c r="DM931" s="31"/>
      <c r="DN931" s="31"/>
      <c r="DO931" s="31"/>
      <c r="DP931" s="31"/>
      <c r="DQ931" s="31"/>
      <c r="DR931" s="31"/>
      <c r="DS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31"/>
      <c r="CW932" s="31"/>
      <c r="CX932" s="31"/>
      <c r="CY932" s="31"/>
      <c r="CZ932" s="31"/>
      <c r="DA932" s="31"/>
      <c r="DB932" s="31"/>
      <c r="DC932" s="31"/>
      <c r="DD932" s="31"/>
      <c r="DE932" s="31"/>
      <c r="DF932" s="31"/>
      <c r="DG932" s="31"/>
      <c r="DH932" s="31"/>
      <c r="DI932" s="31"/>
      <c r="DJ932" s="31"/>
      <c r="DK932" s="31"/>
      <c r="DL932" s="31"/>
      <c r="DM932" s="31"/>
      <c r="DN932" s="31"/>
      <c r="DO932" s="31"/>
      <c r="DP932" s="31"/>
      <c r="DQ932" s="31"/>
      <c r="DR932" s="31"/>
      <c r="DS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31"/>
      <c r="CW933" s="31"/>
      <c r="CX933" s="31"/>
      <c r="CY933" s="31"/>
      <c r="CZ933" s="31"/>
      <c r="DA933" s="31"/>
      <c r="DB933" s="31"/>
      <c r="DC933" s="31"/>
      <c r="DD933" s="31"/>
      <c r="DE933" s="31"/>
      <c r="DF933" s="31"/>
      <c r="DG933" s="31"/>
      <c r="DH933" s="31"/>
      <c r="DI933" s="31"/>
      <c r="DJ933" s="31"/>
      <c r="DK933" s="31"/>
      <c r="DL933" s="31"/>
      <c r="DM933" s="31"/>
      <c r="DN933" s="31"/>
      <c r="DO933" s="31"/>
      <c r="DP933" s="31"/>
      <c r="DQ933" s="31"/>
      <c r="DR933" s="31"/>
      <c r="DS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  <c r="CV934" s="31"/>
      <c r="CW934" s="31"/>
      <c r="CX934" s="31"/>
      <c r="CY934" s="31"/>
      <c r="CZ934" s="31"/>
      <c r="DA934" s="31"/>
      <c r="DB934" s="31"/>
      <c r="DC934" s="31"/>
      <c r="DD934" s="31"/>
      <c r="DE934" s="31"/>
      <c r="DF934" s="31"/>
      <c r="DG934" s="31"/>
      <c r="DH934" s="31"/>
      <c r="DI934" s="31"/>
      <c r="DJ934" s="31"/>
      <c r="DK934" s="31"/>
      <c r="DL934" s="31"/>
      <c r="DM934" s="31"/>
      <c r="DN934" s="31"/>
      <c r="DO934" s="31"/>
      <c r="DP934" s="31"/>
      <c r="DQ934" s="31"/>
      <c r="DR934" s="31"/>
      <c r="DS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  <c r="CX935" s="31"/>
      <c r="CY935" s="31"/>
      <c r="CZ935" s="31"/>
      <c r="DA935" s="31"/>
      <c r="DB935" s="31"/>
      <c r="DC935" s="31"/>
      <c r="DD935" s="31"/>
      <c r="DE935" s="31"/>
      <c r="DF935" s="31"/>
      <c r="DG935" s="31"/>
      <c r="DH935" s="31"/>
      <c r="DI935" s="31"/>
      <c r="DJ935" s="31"/>
      <c r="DK935" s="31"/>
      <c r="DL935" s="31"/>
      <c r="DM935" s="31"/>
      <c r="DN935" s="31"/>
      <c r="DO935" s="31"/>
      <c r="DP935" s="31"/>
      <c r="DQ935" s="31"/>
      <c r="DR935" s="31"/>
      <c r="DS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  <c r="CV936" s="31"/>
      <c r="CW936" s="31"/>
      <c r="CX936" s="31"/>
      <c r="CY936" s="31"/>
      <c r="CZ936" s="31"/>
      <c r="DA936" s="31"/>
      <c r="DB936" s="31"/>
      <c r="DC936" s="31"/>
      <c r="DD936" s="31"/>
      <c r="DE936" s="31"/>
      <c r="DF936" s="31"/>
      <c r="DG936" s="31"/>
      <c r="DH936" s="31"/>
      <c r="DI936" s="31"/>
      <c r="DJ936" s="31"/>
      <c r="DK936" s="31"/>
      <c r="DL936" s="31"/>
      <c r="DM936" s="31"/>
      <c r="DN936" s="31"/>
      <c r="DO936" s="31"/>
      <c r="DP936" s="31"/>
      <c r="DQ936" s="31"/>
      <c r="DR936" s="31"/>
      <c r="DS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  <c r="CV937" s="31"/>
      <c r="CW937" s="31"/>
      <c r="CX937" s="31"/>
      <c r="CY937" s="31"/>
      <c r="CZ937" s="31"/>
      <c r="DA937" s="31"/>
      <c r="DB937" s="31"/>
      <c r="DC937" s="31"/>
      <c r="DD937" s="31"/>
      <c r="DE937" s="31"/>
      <c r="DF937" s="31"/>
      <c r="DG937" s="31"/>
      <c r="DH937" s="31"/>
      <c r="DI937" s="31"/>
      <c r="DJ937" s="31"/>
      <c r="DK937" s="31"/>
      <c r="DL937" s="31"/>
      <c r="DM937" s="31"/>
      <c r="DN937" s="31"/>
      <c r="DO937" s="31"/>
      <c r="DP937" s="31"/>
      <c r="DQ937" s="31"/>
      <c r="DR937" s="31"/>
      <c r="DS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  <c r="CV938" s="31"/>
      <c r="CW938" s="31"/>
      <c r="CX938" s="31"/>
      <c r="CY938" s="31"/>
      <c r="CZ938" s="31"/>
      <c r="DA938" s="31"/>
      <c r="DB938" s="31"/>
      <c r="DC938" s="31"/>
      <c r="DD938" s="31"/>
      <c r="DE938" s="31"/>
      <c r="DF938" s="31"/>
      <c r="DG938" s="31"/>
      <c r="DH938" s="31"/>
      <c r="DI938" s="31"/>
      <c r="DJ938" s="31"/>
      <c r="DK938" s="31"/>
      <c r="DL938" s="31"/>
      <c r="DM938" s="31"/>
      <c r="DN938" s="31"/>
      <c r="DO938" s="31"/>
      <c r="DP938" s="31"/>
      <c r="DQ938" s="31"/>
      <c r="DR938" s="31"/>
      <c r="DS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  <c r="CX939" s="31"/>
      <c r="CY939" s="31"/>
      <c r="CZ939" s="31"/>
      <c r="DA939" s="31"/>
      <c r="DB939" s="31"/>
      <c r="DC939" s="31"/>
      <c r="DD939" s="31"/>
      <c r="DE939" s="31"/>
      <c r="DF939" s="31"/>
      <c r="DG939" s="31"/>
      <c r="DH939" s="31"/>
      <c r="DI939" s="31"/>
      <c r="DJ939" s="31"/>
      <c r="DK939" s="31"/>
      <c r="DL939" s="31"/>
      <c r="DM939" s="31"/>
      <c r="DN939" s="31"/>
      <c r="DO939" s="31"/>
      <c r="DP939" s="31"/>
      <c r="DQ939" s="31"/>
      <c r="DR939" s="31"/>
      <c r="DS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  <c r="CV940" s="31"/>
      <c r="CW940" s="31"/>
      <c r="CX940" s="31"/>
      <c r="CY940" s="31"/>
      <c r="CZ940" s="31"/>
      <c r="DA940" s="31"/>
      <c r="DB940" s="31"/>
      <c r="DC940" s="31"/>
      <c r="DD940" s="31"/>
      <c r="DE940" s="31"/>
      <c r="DF940" s="31"/>
      <c r="DG940" s="31"/>
      <c r="DH940" s="31"/>
      <c r="DI940" s="31"/>
      <c r="DJ940" s="31"/>
      <c r="DK940" s="31"/>
      <c r="DL940" s="31"/>
      <c r="DM940" s="31"/>
      <c r="DN940" s="31"/>
      <c r="DO940" s="31"/>
      <c r="DP940" s="31"/>
      <c r="DQ940" s="31"/>
      <c r="DR940" s="31"/>
      <c r="DS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  <c r="CV941" s="31"/>
      <c r="CW941" s="31"/>
      <c r="CX941" s="31"/>
      <c r="CY941" s="31"/>
      <c r="CZ941" s="31"/>
      <c r="DA941" s="31"/>
      <c r="DB941" s="31"/>
      <c r="DC941" s="31"/>
      <c r="DD941" s="31"/>
      <c r="DE941" s="31"/>
      <c r="DF941" s="31"/>
      <c r="DG941" s="31"/>
      <c r="DH941" s="31"/>
      <c r="DI941" s="31"/>
      <c r="DJ941" s="31"/>
      <c r="DK941" s="31"/>
      <c r="DL941" s="31"/>
      <c r="DM941" s="31"/>
      <c r="DN941" s="31"/>
      <c r="DO941" s="31"/>
      <c r="DP941" s="31"/>
      <c r="DQ941" s="31"/>
      <c r="DR941" s="31"/>
      <c r="DS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  <c r="CV942" s="31"/>
      <c r="CW942" s="31"/>
      <c r="CX942" s="31"/>
      <c r="CY942" s="31"/>
      <c r="CZ942" s="31"/>
      <c r="DA942" s="31"/>
      <c r="DB942" s="31"/>
      <c r="DC942" s="31"/>
      <c r="DD942" s="31"/>
      <c r="DE942" s="31"/>
      <c r="DF942" s="31"/>
      <c r="DG942" s="31"/>
      <c r="DH942" s="31"/>
      <c r="DI942" s="31"/>
      <c r="DJ942" s="31"/>
      <c r="DK942" s="31"/>
      <c r="DL942" s="31"/>
      <c r="DM942" s="31"/>
      <c r="DN942" s="31"/>
      <c r="DO942" s="31"/>
      <c r="DP942" s="31"/>
      <c r="DQ942" s="31"/>
      <c r="DR942" s="31"/>
      <c r="DS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  <c r="CV943" s="31"/>
      <c r="CW943" s="31"/>
      <c r="CX943" s="31"/>
      <c r="CY943" s="31"/>
      <c r="CZ943" s="31"/>
      <c r="DA943" s="31"/>
      <c r="DB943" s="31"/>
      <c r="DC943" s="31"/>
      <c r="DD943" s="31"/>
      <c r="DE943" s="31"/>
      <c r="DF943" s="31"/>
      <c r="DG943" s="31"/>
      <c r="DH943" s="31"/>
      <c r="DI943" s="31"/>
      <c r="DJ943" s="31"/>
      <c r="DK943" s="31"/>
      <c r="DL943" s="31"/>
      <c r="DM943" s="31"/>
      <c r="DN943" s="31"/>
      <c r="DO943" s="31"/>
      <c r="DP943" s="31"/>
      <c r="DQ943" s="31"/>
      <c r="DR943" s="31"/>
      <c r="DS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  <c r="CV944" s="31"/>
      <c r="CW944" s="31"/>
      <c r="CX944" s="31"/>
      <c r="CY944" s="31"/>
      <c r="CZ944" s="31"/>
      <c r="DA944" s="31"/>
      <c r="DB944" s="31"/>
      <c r="DC944" s="31"/>
      <c r="DD944" s="31"/>
      <c r="DE944" s="31"/>
      <c r="DF944" s="31"/>
      <c r="DG944" s="31"/>
      <c r="DH944" s="31"/>
      <c r="DI944" s="31"/>
      <c r="DJ944" s="31"/>
      <c r="DK944" s="31"/>
      <c r="DL944" s="31"/>
      <c r="DM944" s="31"/>
      <c r="DN944" s="31"/>
      <c r="DO944" s="31"/>
      <c r="DP944" s="31"/>
      <c r="DQ944" s="31"/>
      <c r="DR944" s="31"/>
      <c r="DS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  <c r="CX945" s="31"/>
      <c r="CY945" s="31"/>
      <c r="CZ945" s="31"/>
      <c r="DA945" s="31"/>
      <c r="DB945" s="31"/>
      <c r="DC945" s="31"/>
      <c r="DD945" s="31"/>
      <c r="DE945" s="31"/>
      <c r="DF945" s="31"/>
      <c r="DG945" s="31"/>
      <c r="DH945" s="31"/>
      <c r="DI945" s="31"/>
      <c r="DJ945" s="31"/>
      <c r="DK945" s="31"/>
      <c r="DL945" s="31"/>
      <c r="DM945" s="31"/>
      <c r="DN945" s="31"/>
      <c r="DO945" s="31"/>
      <c r="DP945" s="31"/>
      <c r="DQ945" s="31"/>
      <c r="DR945" s="31"/>
      <c r="DS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  <c r="CV946" s="31"/>
      <c r="CW946" s="31"/>
      <c r="CX946" s="31"/>
      <c r="CY946" s="31"/>
      <c r="CZ946" s="31"/>
      <c r="DA946" s="31"/>
      <c r="DB946" s="31"/>
      <c r="DC946" s="31"/>
      <c r="DD946" s="31"/>
      <c r="DE946" s="31"/>
      <c r="DF946" s="31"/>
      <c r="DG946" s="31"/>
      <c r="DH946" s="31"/>
      <c r="DI946" s="31"/>
      <c r="DJ946" s="31"/>
      <c r="DK946" s="31"/>
      <c r="DL946" s="31"/>
      <c r="DM946" s="31"/>
      <c r="DN946" s="31"/>
      <c r="DO946" s="31"/>
      <c r="DP946" s="31"/>
      <c r="DQ946" s="31"/>
      <c r="DR946" s="31"/>
      <c r="DS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  <c r="CV947" s="31"/>
      <c r="CW947" s="31"/>
      <c r="CX947" s="31"/>
      <c r="CY947" s="31"/>
      <c r="CZ947" s="31"/>
      <c r="DA947" s="31"/>
      <c r="DB947" s="31"/>
      <c r="DC947" s="31"/>
      <c r="DD947" s="31"/>
      <c r="DE947" s="31"/>
      <c r="DF947" s="31"/>
      <c r="DG947" s="31"/>
      <c r="DH947" s="31"/>
      <c r="DI947" s="31"/>
      <c r="DJ947" s="31"/>
      <c r="DK947" s="31"/>
      <c r="DL947" s="31"/>
      <c r="DM947" s="31"/>
      <c r="DN947" s="31"/>
      <c r="DO947" s="31"/>
      <c r="DP947" s="31"/>
      <c r="DQ947" s="31"/>
      <c r="DR947" s="31"/>
      <c r="DS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  <c r="CV948" s="31"/>
      <c r="CW948" s="31"/>
      <c r="CX948" s="31"/>
      <c r="CY948" s="31"/>
      <c r="CZ948" s="31"/>
      <c r="DA948" s="31"/>
      <c r="DB948" s="31"/>
      <c r="DC948" s="31"/>
      <c r="DD948" s="31"/>
      <c r="DE948" s="31"/>
      <c r="DF948" s="31"/>
      <c r="DG948" s="31"/>
      <c r="DH948" s="31"/>
      <c r="DI948" s="31"/>
      <c r="DJ948" s="31"/>
      <c r="DK948" s="31"/>
      <c r="DL948" s="31"/>
      <c r="DM948" s="31"/>
      <c r="DN948" s="31"/>
      <c r="DO948" s="31"/>
      <c r="DP948" s="31"/>
      <c r="DQ948" s="31"/>
      <c r="DR948" s="31"/>
      <c r="DS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  <c r="CV949" s="31"/>
      <c r="CW949" s="31"/>
      <c r="CX949" s="31"/>
      <c r="CY949" s="31"/>
      <c r="CZ949" s="31"/>
      <c r="DA949" s="31"/>
      <c r="DB949" s="31"/>
      <c r="DC949" s="31"/>
      <c r="DD949" s="31"/>
      <c r="DE949" s="31"/>
      <c r="DF949" s="31"/>
      <c r="DG949" s="31"/>
      <c r="DH949" s="31"/>
      <c r="DI949" s="31"/>
      <c r="DJ949" s="31"/>
      <c r="DK949" s="31"/>
      <c r="DL949" s="31"/>
      <c r="DM949" s="31"/>
      <c r="DN949" s="31"/>
      <c r="DO949" s="31"/>
      <c r="DP949" s="31"/>
      <c r="DQ949" s="31"/>
      <c r="DR949" s="31"/>
      <c r="DS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  <c r="CV950" s="31"/>
      <c r="CW950" s="31"/>
      <c r="CX950" s="31"/>
      <c r="CY950" s="31"/>
      <c r="CZ950" s="31"/>
      <c r="DA950" s="31"/>
      <c r="DB950" s="31"/>
      <c r="DC950" s="31"/>
      <c r="DD950" s="31"/>
      <c r="DE950" s="31"/>
      <c r="DF950" s="31"/>
      <c r="DG950" s="31"/>
      <c r="DH950" s="31"/>
      <c r="DI950" s="31"/>
      <c r="DJ950" s="31"/>
      <c r="DK950" s="31"/>
      <c r="DL950" s="31"/>
      <c r="DM950" s="31"/>
      <c r="DN950" s="31"/>
      <c r="DO950" s="31"/>
      <c r="DP950" s="31"/>
      <c r="DQ950" s="31"/>
      <c r="DR950" s="31"/>
      <c r="DS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  <c r="CV951" s="31"/>
      <c r="CW951" s="31"/>
      <c r="CX951" s="31"/>
      <c r="CY951" s="31"/>
      <c r="CZ951" s="31"/>
      <c r="DA951" s="31"/>
      <c r="DB951" s="31"/>
      <c r="DC951" s="31"/>
      <c r="DD951" s="31"/>
      <c r="DE951" s="31"/>
      <c r="DF951" s="31"/>
      <c r="DG951" s="31"/>
      <c r="DH951" s="31"/>
      <c r="DI951" s="31"/>
      <c r="DJ951" s="31"/>
      <c r="DK951" s="31"/>
      <c r="DL951" s="31"/>
      <c r="DM951" s="31"/>
      <c r="DN951" s="31"/>
      <c r="DO951" s="31"/>
      <c r="DP951" s="31"/>
      <c r="DQ951" s="31"/>
      <c r="DR951" s="31"/>
      <c r="DS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  <c r="CV952" s="31"/>
      <c r="CW952" s="31"/>
      <c r="CX952" s="31"/>
      <c r="CY952" s="31"/>
      <c r="CZ952" s="31"/>
      <c r="DA952" s="31"/>
      <c r="DB952" s="31"/>
      <c r="DC952" s="31"/>
      <c r="DD952" s="31"/>
      <c r="DE952" s="31"/>
      <c r="DF952" s="31"/>
      <c r="DG952" s="31"/>
      <c r="DH952" s="31"/>
      <c r="DI952" s="31"/>
      <c r="DJ952" s="31"/>
      <c r="DK952" s="31"/>
      <c r="DL952" s="31"/>
      <c r="DM952" s="31"/>
      <c r="DN952" s="31"/>
      <c r="DO952" s="31"/>
      <c r="DP952" s="31"/>
      <c r="DQ952" s="31"/>
      <c r="DR952" s="31"/>
      <c r="DS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  <c r="CV953" s="31"/>
      <c r="CW953" s="31"/>
      <c r="CX953" s="31"/>
      <c r="CY953" s="31"/>
      <c r="CZ953" s="31"/>
      <c r="DA953" s="31"/>
      <c r="DB953" s="31"/>
      <c r="DC953" s="31"/>
      <c r="DD953" s="31"/>
      <c r="DE953" s="31"/>
      <c r="DF953" s="31"/>
      <c r="DG953" s="31"/>
      <c r="DH953" s="31"/>
      <c r="DI953" s="31"/>
      <c r="DJ953" s="31"/>
      <c r="DK953" s="31"/>
      <c r="DL953" s="31"/>
      <c r="DM953" s="31"/>
      <c r="DN953" s="31"/>
      <c r="DO953" s="31"/>
      <c r="DP953" s="31"/>
      <c r="DQ953" s="31"/>
      <c r="DR953" s="31"/>
      <c r="DS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  <c r="CV954" s="31"/>
      <c r="CW954" s="31"/>
      <c r="CX954" s="31"/>
      <c r="CY954" s="31"/>
      <c r="CZ954" s="31"/>
      <c r="DA954" s="31"/>
      <c r="DB954" s="31"/>
      <c r="DC954" s="31"/>
      <c r="DD954" s="31"/>
      <c r="DE954" s="31"/>
      <c r="DF954" s="31"/>
      <c r="DG954" s="31"/>
      <c r="DH954" s="31"/>
      <c r="DI954" s="31"/>
      <c r="DJ954" s="31"/>
      <c r="DK954" s="31"/>
      <c r="DL954" s="31"/>
      <c r="DM954" s="31"/>
      <c r="DN954" s="31"/>
      <c r="DO954" s="31"/>
      <c r="DP954" s="31"/>
      <c r="DQ954" s="31"/>
      <c r="DR954" s="31"/>
      <c r="DS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  <c r="CV955" s="31"/>
      <c r="CW955" s="31"/>
      <c r="CX955" s="31"/>
      <c r="CY955" s="31"/>
      <c r="CZ955" s="31"/>
      <c r="DA955" s="31"/>
      <c r="DB955" s="31"/>
      <c r="DC955" s="31"/>
      <c r="DD955" s="31"/>
      <c r="DE955" s="31"/>
      <c r="DF955" s="31"/>
      <c r="DG955" s="31"/>
      <c r="DH955" s="31"/>
      <c r="DI955" s="31"/>
      <c r="DJ955" s="31"/>
      <c r="DK955" s="31"/>
      <c r="DL955" s="31"/>
      <c r="DM955" s="31"/>
      <c r="DN955" s="31"/>
      <c r="DO955" s="31"/>
      <c r="DP955" s="31"/>
      <c r="DQ955" s="31"/>
      <c r="DR955" s="31"/>
      <c r="DS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  <c r="CV956" s="31"/>
      <c r="CW956" s="31"/>
      <c r="CX956" s="31"/>
      <c r="CY956" s="31"/>
      <c r="CZ956" s="31"/>
      <c r="DA956" s="31"/>
      <c r="DB956" s="31"/>
      <c r="DC956" s="31"/>
      <c r="DD956" s="31"/>
      <c r="DE956" s="31"/>
      <c r="DF956" s="31"/>
      <c r="DG956" s="31"/>
      <c r="DH956" s="31"/>
      <c r="DI956" s="31"/>
      <c r="DJ956" s="31"/>
      <c r="DK956" s="31"/>
      <c r="DL956" s="31"/>
      <c r="DM956" s="31"/>
      <c r="DN956" s="31"/>
      <c r="DO956" s="31"/>
      <c r="DP956" s="31"/>
      <c r="DQ956" s="31"/>
      <c r="DR956" s="31"/>
      <c r="DS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  <c r="CV957" s="31"/>
      <c r="CW957" s="31"/>
      <c r="CX957" s="31"/>
      <c r="CY957" s="31"/>
      <c r="CZ957" s="31"/>
      <c r="DA957" s="31"/>
      <c r="DB957" s="31"/>
      <c r="DC957" s="31"/>
      <c r="DD957" s="31"/>
      <c r="DE957" s="31"/>
      <c r="DF957" s="31"/>
      <c r="DG957" s="31"/>
      <c r="DH957" s="31"/>
      <c r="DI957" s="31"/>
      <c r="DJ957" s="31"/>
      <c r="DK957" s="31"/>
      <c r="DL957" s="31"/>
      <c r="DM957" s="31"/>
      <c r="DN957" s="31"/>
      <c r="DO957" s="31"/>
      <c r="DP957" s="31"/>
      <c r="DQ957" s="31"/>
      <c r="DR957" s="31"/>
      <c r="DS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  <c r="CX958" s="31"/>
      <c r="CY958" s="31"/>
      <c r="CZ958" s="31"/>
      <c r="DA958" s="31"/>
      <c r="DB958" s="31"/>
      <c r="DC958" s="31"/>
      <c r="DD958" s="31"/>
      <c r="DE958" s="31"/>
      <c r="DF958" s="31"/>
      <c r="DG958" s="31"/>
      <c r="DH958" s="31"/>
      <c r="DI958" s="31"/>
      <c r="DJ958" s="31"/>
      <c r="DK958" s="31"/>
      <c r="DL958" s="31"/>
      <c r="DM958" s="31"/>
      <c r="DN958" s="31"/>
      <c r="DO958" s="31"/>
      <c r="DP958" s="31"/>
      <c r="DQ958" s="31"/>
      <c r="DR958" s="31"/>
      <c r="DS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  <c r="CV959" s="31"/>
      <c r="CW959" s="31"/>
      <c r="CX959" s="31"/>
      <c r="CY959" s="31"/>
      <c r="CZ959" s="31"/>
      <c r="DA959" s="31"/>
      <c r="DB959" s="31"/>
      <c r="DC959" s="31"/>
      <c r="DD959" s="31"/>
      <c r="DE959" s="31"/>
      <c r="DF959" s="31"/>
      <c r="DG959" s="31"/>
      <c r="DH959" s="31"/>
      <c r="DI959" s="31"/>
      <c r="DJ959" s="31"/>
      <c r="DK959" s="31"/>
      <c r="DL959" s="31"/>
      <c r="DM959" s="31"/>
      <c r="DN959" s="31"/>
      <c r="DO959" s="31"/>
      <c r="DP959" s="31"/>
      <c r="DQ959" s="31"/>
      <c r="DR959" s="31"/>
      <c r="DS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  <c r="CV960" s="31"/>
      <c r="CW960" s="31"/>
      <c r="CX960" s="31"/>
      <c r="CY960" s="31"/>
      <c r="CZ960" s="31"/>
      <c r="DA960" s="31"/>
      <c r="DB960" s="31"/>
      <c r="DC960" s="31"/>
      <c r="DD960" s="31"/>
      <c r="DE960" s="31"/>
      <c r="DF960" s="31"/>
      <c r="DG960" s="31"/>
      <c r="DH960" s="31"/>
      <c r="DI960" s="31"/>
      <c r="DJ960" s="31"/>
      <c r="DK960" s="31"/>
      <c r="DL960" s="31"/>
      <c r="DM960" s="31"/>
      <c r="DN960" s="31"/>
      <c r="DO960" s="31"/>
      <c r="DP960" s="31"/>
      <c r="DQ960" s="31"/>
      <c r="DR960" s="31"/>
      <c r="DS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  <c r="CV961" s="31"/>
      <c r="CW961" s="31"/>
      <c r="CX961" s="31"/>
      <c r="CY961" s="31"/>
      <c r="CZ961" s="31"/>
      <c r="DA961" s="31"/>
      <c r="DB961" s="31"/>
      <c r="DC961" s="31"/>
      <c r="DD961" s="31"/>
      <c r="DE961" s="31"/>
      <c r="DF961" s="31"/>
      <c r="DG961" s="31"/>
      <c r="DH961" s="31"/>
      <c r="DI961" s="31"/>
      <c r="DJ961" s="31"/>
      <c r="DK961" s="31"/>
      <c r="DL961" s="31"/>
      <c r="DM961" s="31"/>
      <c r="DN961" s="31"/>
      <c r="DO961" s="31"/>
      <c r="DP961" s="31"/>
      <c r="DQ961" s="31"/>
      <c r="DR961" s="31"/>
      <c r="DS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  <c r="CV962" s="31"/>
      <c r="CW962" s="31"/>
      <c r="CX962" s="31"/>
      <c r="CY962" s="31"/>
      <c r="CZ962" s="31"/>
      <c r="DA962" s="31"/>
      <c r="DB962" s="31"/>
      <c r="DC962" s="31"/>
      <c r="DD962" s="31"/>
      <c r="DE962" s="31"/>
      <c r="DF962" s="31"/>
      <c r="DG962" s="31"/>
      <c r="DH962" s="31"/>
      <c r="DI962" s="31"/>
      <c r="DJ962" s="31"/>
      <c r="DK962" s="31"/>
      <c r="DL962" s="31"/>
      <c r="DM962" s="31"/>
      <c r="DN962" s="31"/>
      <c r="DO962" s="31"/>
      <c r="DP962" s="31"/>
      <c r="DQ962" s="31"/>
      <c r="DR962" s="31"/>
      <c r="DS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  <c r="CV963" s="31"/>
      <c r="CW963" s="31"/>
      <c r="CX963" s="31"/>
      <c r="CY963" s="31"/>
      <c r="CZ963" s="31"/>
      <c r="DA963" s="31"/>
      <c r="DB963" s="31"/>
      <c r="DC963" s="31"/>
      <c r="DD963" s="31"/>
      <c r="DE963" s="31"/>
      <c r="DF963" s="31"/>
      <c r="DG963" s="31"/>
      <c r="DH963" s="31"/>
      <c r="DI963" s="31"/>
      <c r="DJ963" s="31"/>
      <c r="DK963" s="31"/>
      <c r="DL963" s="31"/>
      <c r="DM963" s="31"/>
      <c r="DN963" s="31"/>
      <c r="DO963" s="31"/>
      <c r="DP963" s="31"/>
      <c r="DQ963" s="31"/>
      <c r="DR963" s="31"/>
      <c r="DS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  <c r="CX964" s="31"/>
      <c r="CY964" s="31"/>
      <c r="CZ964" s="31"/>
      <c r="DA964" s="31"/>
      <c r="DB964" s="31"/>
      <c r="DC964" s="31"/>
      <c r="DD964" s="31"/>
      <c r="DE964" s="31"/>
      <c r="DF964" s="31"/>
      <c r="DG964" s="31"/>
      <c r="DH964" s="31"/>
      <c r="DI964" s="31"/>
      <c r="DJ964" s="31"/>
      <c r="DK964" s="31"/>
      <c r="DL964" s="31"/>
      <c r="DM964" s="31"/>
      <c r="DN964" s="31"/>
      <c r="DO964" s="31"/>
      <c r="DP964" s="31"/>
      <c r="DQ964" s="31"/>
      <c r="DR964" s="31"/>
      <c r="DS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  <c r="CV965" s="31"/>
      <c r="CW965" s="31"/>
      <c r="CX965" s="31"/>
      <c r="CY965" s="31"/>
      <c r="CZ965" s="31"/>
      <c r="DA965" s="31"/>
      <c r="DB965" s="31"/>
      <c r="DC965" s="31"/>
      <c r="DD965" s="31"/>
      <c r="DE965" s="31"/>
      <c r="DF965" s="31"/>
      <c r="DG965" s="31"/>
      <c r="DH965" s="31"/>
      <c r="DI965" s="31"/>
      <c r="DJ965" s="31"/>
      <c r="DK965" s="31"/>
      <c r="DL965" s="31"/>
      <c r="DM965" s="31"/>
      <c r="DN965" s="31"/>
      <c r="DO965" s="31"/>
      <c r="DP965" s="31"/>
      <c r="DQ965" s="31"/>
      <c r="DR965" s="31"/>
      <c r="DS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  <c r="CV966" s="31"/>
      <c r="CW966" s="31"/>
      <c r="CX966" s="31"/>
      <c r="CY966" s="31"/>
      <c r="CZ966" s="31"/>
      <c r="DA966" s="31"/>
      <c r="DB966" s="31"/>
      <c r="DC966" s="31"/>
      <c r="DD966" s="31"/>
      <c r="DE966" s="31"/>
      <c r="DF966" s="31"/>
      <c r="DG966" s="31"/>
      <c r="DH966" s="31"/>
      <c r="DI966" s="31"/>
      <c r="DJ966" s="31"/>
      <c r="DK966" s="31"/>
      <c r="DL966" s="31"/>
      <c r="DM966" s="31"/>
      <c r="DN966" s="31"/>
      <c r="DO966" s="31"/>
      <c r="DP966" s="31"/>
      <c r="DQ966" s="31"/>
      <c r="DR966" s="31"/>
      <c r="DS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31"/>
      <c r="CW967" s="31"/>
      <c r="CX967" s="31"/>
      <c r="CY967" s="31"/>
      <c r="CZ967" s="31"/>
      <c r="DA967" s="31"/>
      <c r="DB967" s="31"/>
      <c r="DC967" s="31"/>
      <c r="DD967" s="31"/>
      <c r="DE967" s="31"/>
      <c r="DF967" s="31"/>
      <c r="DG967" s="31"/>
      <c r="DH967" s="31"/>
      <c r="DI967" s="31"/>
      <c r="DJ967" s="31"/>
      <c r="DK967" s="31"/>
      <c r="DL967" s="31"/>
      <c r="DM967" s="31"/>
      <c r="DN967" s="31"/>
      <c r="DO967" s="31"/>
      <c r="DP967" s="31"/>
      <c r="DQ967" s="31"/>
      <c r="DR967" s="31"/>
      <c r="DS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  <c r="CX968" s="31"/>
      <c r="CY968" s="31"/>
      <c r="CZ968" s="31"/>
      <c r="DA968" s="31"/>
      <c r="DB968" s="31"/>
      <c r="DC968" s="31"/>
      <c r="DD968" s="31"/>
      <c r="DE968" s="31"/>
      <c r="DF968" s="31"/>
      <c r="DG968" s="31"/>
      <c r="DH968" s="31"/>
      <c r="DI968" s="31"/>
      <c r="DJ968" s="31"/>
      <c r="DK968" s="31"/>
      <c r="DL968" s="31"/>
      <c r="DM968" s="31"/>
      <c r="DN968" s="31"/>
      <c r="DO968" s="31"/>
      <c r="DP968" s="31"/>
      <c r="DQ968" s="31"/>
      <c r="DR968" s="31"/>
      <c r="DS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31"/>
      <c r="CW969" s="31"/>
      <c r="CX969" s="31"/>
      <c r="CY969" s="31"/>
      <c r="CZ969" s="31"/>
      <c r="DA969" s="31"/>
      <c r="DB969" s="31"/>
      <c r="DC969" s="31"/>
      <c r="DD969" s="31"/>
      <c r="DE969" s="31"/>
      <c r="DF969" s="31"/>
      <c r="DG969" s="31"/>
      <c r="DH969" s="31"/>
      <c r="DI969" s="31"/>
      <c r="DJ969" s="31"/>
      <c r="DK969" s="31"/>
      <c r="DL969" s="31"/>
      <c r="DM969" s="31"/>
      <c r="DN969" s="31"/>
      <c r="DO969" s="31"/>
      <c r="DP969" s="31"/>
      <c r="DQ969" s="31"/>
      <c r="DR969" s="31"/>
      <c r="DS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31"/>
      <c r="CW970" s="31"/>
      <c r="CX970" s="31"/>
      <c r="CY970" s="31"/>
      <c r="CZ970" s="31"/>
      <c r="DA970" s="31"/>
      <c r="DB970" s="31"/>
      <c r="DC970" s="31"/>
      <c r="DD970" s="31"/>
      <c r="DE970" s="31"/>
      <c r="DF970" s="31"/>
      <c r="DG970" s="31"/>
      <c r="DH970" s="31"/>
      <c r="DI970" s="31"/>
      <c r="DJ970" s="31"/>
      <c r="DK970" s="31"/>
      <c r="DL970" s="31"/>
      <c r="DM970" s="31"/>
      <c r="DN970" s="31"/>
      <c r="DO970" s="31"/>
      <c r="DP970" s="31"/>
      <c r="DQ970" s="31"/>
      <c r="DR970" s="31"/>
      <c r="DS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  <c r="CX971" s="31"/>
      <c r="CY971" s="31"/>
      <c r="CZ971" s="31"/>
      <c r="DA971" s="31"/>
      <c r="DB971" s="31"/>
      <c r="DC971" s="31"/>
      <c r="DD971" s="31"/>
      <c r="DE971" s="31"/>
      <c r="DF971" s="31"/>
      <c r="DG971" s="31"/>
      <c r="DH971" s="31"/>
      <c r="DI971" s="31"/>
      <c r="DJ971" s="31"/>
      <c r="DK971" s="31"/>
      <c r="DL971" s="31"/>
      <c r="DM971" s="31"/>
      <c r="DN971" s="31"/>
      <c r="DO971" s="31"/>
      <c r="DP971" s="31"/>
      <c r="DQ971" s="31"/>
      <c r="DR971" s="31"/>
      <c r="DS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31"/>
      <c r="CW972" s="31"/>
      <c r="CX972" s="31"/>
      <c r="CY972" s="31"/>
      <c r="CZ972" s="31"/>
      <c r="DA972" s="31"/>
      <c r="DB972" s="31"/>
      <c r="DC972" s="31"/>
      <c r="DD972" s="31"/>
      <c r="DE972" s="31"/>
      <c r="DF972" s="31"/>
      <c r="DG972" s="31"/>
      <c r="DH972" s="31"/>
      <c r="DI972" s="31"/>
      <c r="DJ972" s="31"/>
      <c r="DK972" s="31"/>
      <c r="DL972" s="31"/>
      <c r="DM972" s="31"/>
      <c r="DN972" s="31"/>
      <c r="DO972" s="31"/>
      <c r="DP972" s="31"/>
      <c r="DQ972" s="31"/>
      <c r="DR972" s="31"/>
      <c r="DS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31"/>
      <c r="CW973" s="31"/>
      <c r="CX973" s="31"/>
      <c r="CY973" s="31"/>
      <c r="CZ973" s="31"/>
      <c r="DA973" s="31"/>
      <c r="DB973" s="31"/>
      <c r="DC973" s="31"/>
      <c r="DD973" s="31"/>
      <c r="DE973" s="31"/>
      <c r="DF973" s="31"/>
      <c r="DG973" s="31"/>
      <c r="DH973" s="31"/>
      <c r="DI973" s="31"/>
      <c r="DJ973" s="31"/>
      <c r="DK973" s="31"/>
      <c r="DL973" s="31"/>
      <c r="DM973" s="31"/>
      <c r="DN973" s="31"/>
      <c r="DO973" s="31"/>
      <c r="DP973" s="31"/>
      <c r="DQ973" s="31"/>
      <c r="DR973" s="31"/>
      <c r="DS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31"/>
      <c r="CW974" s="31"/>
      <c r="CX974" s="31"/>
      <c r="CY974" s="31"/>
      <c r="CZ974" s="31"/>
      <c r="DA974" s="31"/>
      <c r="DB974" s="31"/>
      <c r="DC974" s="31"/>
      <c r="DD974" s="31"/>
      <c r="DE974" s="31"/>
      <c r="DF974" s="31"/>
      <c r="DG974" s="31"/>
      <c r="DH974" s="31"/>
      <c r="DI974" s="31"/>
      <c r="DJ974" s="31"/>
      <c r="DK974" s="31"/>
      <c r="DL974" s="31"/>
      <c r="DM974" s="31"/>
      <c r="DN974" s="31"/>
      <c r="DO974" s="31"/>
      <c r="DP974" s="31"/>
      <c r="DQ974" s="31"/>
      <c r="DR974" s="31"/>
      <c r="DS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31"/>
      <c r="CW975" s="31"/>
      <c r="CX975" s="31"/>
      <c r="CY975" s="31"/>
      <c r="CZ975" s="31"/>
      <c r="DA975" s="31"/>
      <c r="DB975" s="31"/>
      <c r="DC975" s="31"/>
      <c r="DD975" s="31"/>
      <c r="DE975" s="31"/>
      <c r="DF975" s="31"/>
      <c r="DG975" s="31"/>
      <c r="DH975" s="31"/>
      <c r="DI975" s="31"/>
      <c r="DJ975" s="31"/>
      <c r="DK975" s="31"/>
      <c r="DL975" s="31"/>
      <c r="DM975" s="31"/>
      <c r="DN975" s="31"/>
      <c r="DO975" s="31"/>
      <c r="DP975" s="31"/>
      <c r="DQ975" s="31"/>
      <c r="DR975" s="31"/>
      <c r="DS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31"/>
      <c r="CW976" s="31"/>
      <c r="CX976" s="31"/>
      <c r="CY976" s="31"/>
      <c r="CZ976" s="31"/>
      <c r="DA976" s="31"/>
      <c r="DB976" s="31"/>
      <c r="DC976" s="31"/>
      <c r="DD976" s="31"/>
      <c r="DE976" s="31"/>
      <c r="DF976" s="31"/>
      <c r="DG976" s="31"/>
      <c r="DH976" s="31"/>
      <c r="DI976" s="31"/>
      <c r="DJ976" s="31"/>
      <c r="DK976" s="31"/>
      <c r="DL976" s="31"/>
      <c r="DM976" s="31"/>
      <c r="DN976" s="31"/>
      <c r="DO976" s="31"/>
      <c r="DP976" s="31"/>
      <c r="DQ976" s="31"/>
      <c r="DR976" s="31"/>
      <c r="DS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31"/>
      <c r="CW977" s="31"/>
      <c r="CX977" s="31"/>
      <c r="CY977" s="31"/>
      <c r="CZ977" s="31"/>
      <c r="DA977" s="31"/>
      <c r="DB977" s="31"/>
      <c r="DC977" s="31"/>
      <c r="DD977" s="31"/>
      <c r="DE977" s="31"/>
      <c r="DF977" s="31"/>
      <c r="DG977" s="31"/>
      <c r="DH977" s="31"/>
      <c r="DI977" s="31"/>
      <c r="DJ977" s="31"/>
      <c r="DK977" s="31"/>
      <c r="DL977" s="31"/>
      <c r="DM977" s="31"/>
      <c r="DN977" s="31"/>
      <c r="DO977" s="31"/>
      <c r="DP977" s="31"/>
      <c r="DQ977" s="31"/>
      <c r="DR977" s="31"/>
      <c r="DS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31"/>
      <c r="CW978" s="31"/>
      <c r="CX978" s="31"/>
      <c r="CY978" s="31"/>
      <c r="CZ978" s="31"/>
      <c r="DA978" s="31"/>
      <c r="DB978" s="31"/>
      <c r="DC978" s="31"/>
      <c r="DD978" s="31"/>
      <c r="DE978" s="31"/>
      <c r="DF978" s="31"/>
      <c r="DG978" s="31"/>
      <c r="DH978" s="31"/>
      <c r="DI978" s="31"/>
      <c r="DJ978" s="31"/>
      <c r="DK978" s="31"/>
      <c r="DL978" s="31"/>
      <c r="DM978" s="31"/>
      <c r="DN978" s="31"/>
      <c r="DO978" s="31"/>
      <c r="DP978" s="31"/>
      <c r="DQ978" s="31"/>
      <c r="DR978" s="31"/>
      <c r="DS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31"/>
      <c r="CW979" s="31"/>
      <c r="CX979" s="31"/>
      <c r="CY979" s="31"/>
      <c r="CZ979" s="31"/>
      <c r="DA979" s="31"/>
      <c r="DB979" s="31"/>
      <c r="DC979" s="31"/>
      <c r="DD979" s="31"/>
      <c r="DE979" s="31"/>
      <c r="DF979" s="31"/>
      <c r="DG979" s="31"/>
      <c r="DH979" s="31"/>
      <c r="DI979" s="31"/>
      <c r="DJ979" s="31"/>
      <c r="DK979" s="31"/>
      <c r="DL979" s="31"/>
      <c r="DM979" s="31"/>
      <c r="DN979" s="31"/>
      <c r="DO979" s="31"/>
      <c r="DP979" s="31"/>
      <c r="DQ979" s="31"/>
      <c r="DR979" s="31"/>
      <c r="DS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  <c r="CX980" s="31"/>
      <c r="CY980" s="31"/>
      <c r="CZ980" s="31"/>
      <c r="DA980" s="31"/>
      <c r="DB980" s="31"/>
      <c r="DC980" s="31"/>
      <c r="DD980" s="31"/>
      <c r="DE980" s="31"/>
      <c r="DF980" s="31"/>
      <c r="DG980" s="31"/>
      <c r="DH980" s="31"/>
      <c r="DI980" s="31"/>
      <c r="DJ980" s="31"/>
      <c r="DK980" s="31"/>
      <c r="DL980" s="31"/>
      <c r="DM980" s="31"/>
      <c r="DN980" s="31"/>
      <c r="DO980" s="31"/>
      <c r="DP980" s="31"/>
      <c r="DQ980" s="31"/>
      <c r="DR980" s="31"/>
      <c r="DS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31"/>
      <c r="CW981" s="31"/>
      <c r="CX981" s="31"/>
      <c r="CY981" s="31"/>
      <c r="CZ981" s="31"/>
      <c r="DA981" s="31"/>
      <c r="DB981" s="31"/>
      <c r="DC981" s="31"/>
      <c r="DD981" s="31"/>
      <c r="DE981" s="31"/>
      <c r="DF981" s="31"/>
      <c r="DG981" s="31"/>
      <c r="DH981" s="31"/>
      <c r="DI981" s="31"/>
      <c r="DJ981" s="31"/>
      <c r="DK981" s="31"/>
      <c r="DL981" s="31"/>
      <c r="DM981" s="31"/>
      <c r="DN981" s="31"/>
      <c r="DO981" s="31"/>
      <c r="DP981" s="31"/>
      <c r="DQ981" s="31"/>
      <c r="DR981" s="31"/>
      <c r="DS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31"/>
      <c r="CW982" s="31"/>
      <c r="CX982" s="31"/>
      <c r="CY982" s="31"/>
      <c r="CZ982" s="31"/>
      <c r="DA982" s="31"/>
      <c r="DB982" s="31"/>
      <c r="DC982" s="31"/>
      <c r="DD982" s="31"/>
      <c r="DE982" s="31"/>
      <c r="DF982" s="31"/>
      <c r="DG982" s="31"/>
      <c r="DH982" s="31"/>
      <c r="DI982" s="31"/>
      <c r="DJ982" s="31"/>
      <c r="DK982" s="31"/>
      <c r="DL982" s="31"/>
      <c r="DM982" s="31"/>
      <c r="DN982" s="31"/>
      <c r="DO982" s="31"/>
      <c r="DP982" s="31"/>
      <c r="DQ982" s="31"/>
      <c r="DR982" s="31"/>
      <c r="DS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31"/>
      <c r="CW983" s="31"/>
      <c r="CX983" s="31"/>
      <c r="CY983" s="31"/>
      <c r="CZ983" s="31"/>
      <c r="DA983" s="31"/>
      <c r="DB983" s="31"/>
      <c r="DC983" s="31"/>
      <c r="DD983" s="31"/>
      <c r="DE983" s="31"/>
      <c r="DF983" s="31"/>
      <c r="DG983" s="31"/>
      <c r="DH983" s="31"/>
      <c r="DI983" s="31"/>
      <c r="DJ983" s="31"/>
      <c r="DK983" s="31"/>
      <c r="DL983" s="31"/>
      <c r="DM983" s="31"/>
      <c r="DN983" s="31"/>
      <c r="DO983" s="31"/>
      <c r="DP983" s="31"/>
      <c r="DQ983" s="31"/>
      <c r="DR983" s="31"/>
      <c r="DS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31"/>
      <c r="CW984" s="31"/>
      <c r="CX984" s="31"/>
      <c r="CY984" s="31"/>
      <c r="CZ984" s="31"/>
      <c r="DA984" s="31"/>
      <c r="DB984" s="31"/>
      <c r="DC984" s="31"/>
      <c r="DD984" s="31"/>
      <c r="DE984" s="31"/>
      <c r="DF984" s="31"/>
      <c r="DG984" s="31"/>
      <c r="DH984" s="31"/>
      <c r="DI984" s="31"/>
      <c r="DJ984" s="31"/>
      <c r="DK984" s="31"/>
      <c r="DL984" s="31"/>
      <c r="DM984" s="31"/>
      <c r="DN984" s="31"/>
      <c r="DO984" s="31"/>
      <c r="DP984" s="31"/>
      <c r="DQ984" s="31"/>
      <c r="DR984" s="31"/>
      <c r="DS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31"/>
      <c r="CW985" s="31"/>
      <c r="CX985" s="31"/>
      <c r="CY985" s="31"/>
      <c r="CZ985" s="31"/>
      <c r="DA985" s="31"/>
      <c r="DB985" s="31"/>
      <c r="DC985" s="31"/>
      <c r="DD985" s="31"/>
      <c r="DE985" s="31"/>
      <c r="DF985" s="31"/>
      <c r="DG985" s="31"/>
      <c r="DH985" s="31"/>
      <c r="DI985" s="31"/>
      <c r="DJ985" s="31"/>
      <c r="DK985" s="31"/>
      <c r="DL985" s="31"/>
      <c r="DM985" s="31"/>
      <c r="DN985" s="31"/>
      <c r="DO985" s="31"/>
      <c r="DP985" s="31"/>
      <c r="DQ985" s="31"/>
      <c r="DR985" s="31"/>
      <c r="DS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31"/>
      <c r="CW986" s="31"/>
      <c r="CX986" s="31"/>
      <c r="CY986" s="31"/>
      <c r="CZ986" s="31"/>
      <c r="DA986" s="31"/>
      <c r="DB986" s="31"/>
      <c r="DC986" s="31"/>
      <c r="DD986" s="31"/>
      <c r="DE986" s="31"/>
      <c r="DF986" s="31"/>
      <c r="DG986" s="31"/>
      <c r="DH986" s="31"/>
      <c r="DI986" s="31"/>
      <c r="DJ986" s="31"/>
      <c r="DK986" s="31"/>
      <c r="DL986" s="31"/>
      <c r="DM986" s="31"/>
      <c r="DN986" s="31"/>
      <c r="DO986" s="31"/>
      <c r="DP986" s="31"/>
      <c r="DQ986" s="31"/>
      <c r="DR986" s="31"/>
      <c r="DS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31"/>
      <c r="CW987" s="31"/>
      <c r="CX987" s="31"/>
      <c r="CY987" s="31"/>
      <c r="CZ987" s="31"/>
      <c r="DA987" s="31"/>
      <c r="DB987" s="31"/>
      <c r="DC987" s="31"/>
      <c r="DD987" s="31"/>
      <c r="DE987" s="31"/>
      <c r="DF987" s="31"/>
      <c r="DG987" s="31"/>
      <c r="DH987" s="31"/>
      <c r="DI987" s="31"/>
      <c r="DJ987" s="31"/>
      <c r="DK987" s="31"/>
      <c r="DL987" s="31"/>
      <c r="DM987" s="31"/>
      <c r="DN987" s="31"/>
      <c r="DO987" s="31"/>
      <c r="DP987" s="31"/>
      <c r="DQ987" s="31"/>
      <c r="DR987" s="31"/>
      <c r="DS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31"/>
      <c r="CW988" s="31"/>
      <c r="CX988" s="31"/>
      <c r="CY988" s="31"/>
      <c r="CZ988" s="31"/>
      <c r="DA988" s="31"/>
      <c r="DB988" s="31"/>
      <c r="DC988" s="31"/>
      <c r="DD988" s="31"/>
      <c r="DE988" s="31"/>
      <c r="DF988" s="31"/>
      <c r="DG988" s="31"/>
      <c r="DH988" s="31"/>
      <c r="DI988" s="31"/>
      <c r="DJ988" s="31"/>
      <c r="DK988" s="31"/>
      <c r="DL988" s="31"/>
      <c r="DM988" s="31"/>
      <c r="DN988" s="31"/>
      <c r="DO988" s="31"/>
      <c r="DP988" s="31"/>
      <c r="DQ988" s="31"/>
      <c r="DR988" s="31"/>
      <c r="DS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31"/>
      <c r="CW989" s="31"/>
      <c r="CX989" s="31"/>
      <c r="CY989" s="31"/>
      <c r="CZ989" s="31"/>
      <c r="DA989" s="31"/>
      <c r="DB989" s="31"/>
      <c r="DC989" s="31"/>
      <c r="DD989" s="31"/>
      <c r="DE989" s="31"/>
      <c r="DF989" s="31"/>
      <c r="DG989" s="31"/>
      <c r="DH989" s="31"/>
      <c r="DI989" s="31"/>
      <c r="DJ989" s="31"/>
      <c r="DK989" s="31"/>
      <c r="DL989" s="31"/>
      <c r="DM989" s="31"/>
      <c r="DN989" s="31"/>
      <c r="DO989" s="31"/>
      <c r="DP989" s="31"/>
      <c r="DQ989" s="31"/>
      <c r="DR989" s="31"/>
      <c r="DS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  <c r="CV990" s="31"/>
      <c r="CW990" s="31"/>
      <c r="CX990" s="31"/>
      <c r="CY990" s="31"/>
      <c r="CZ990" s="31"/>
      <c r="DA990" s="31"/>
      <c r="DB990" s="31"/>
      <c r="DC990" s="31"/>
      <c r="DD990" s="31"/>
      <c r="DE990" s="31"/>
      <c r="DF990" s="31"/>
      <c r="DG990" s="31"/>
      <c r="DH990" s="31"/>
      <c r="DI990" s="31"/>
      <c r="DJ990" s="31"/>
      <c r="DK990" s="31"/>
      <c r="DL990" s="31"/>
      <c r="DM990" s="31"/>
      <c r="DN990" s="31"/>
      <c r="DO990" s="31"/>
      <c r="DP990" s="31"/>
      <c r="DQ990" s="31"/>
      <c r="DR990" s="31"/>
      <c r="DS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  <c r="CV991" s="31"/>
      <c r="CW991" s="31"/>
      <c r="CX991" s="31"/>
      <c r="CY991" s="31"/>
      <c r="CZ991" s="31"/>
      <c r="DA991" s="31"/>
      <c r="DB991" s="31"/>
      <c r="DC991" s="31"/>
      <c r="DD991" s="31"/>
      <c r="DE991" s="31"/>
      <c r="DF991" s="31"/>
      <c r="DG991" s="31"/>
      <c r="DH991" s="31"/>
      <c r="DI991" s="31"/>
      <c r="DJ991" s="31"/>
      <c r="DK991" s="31"/>
      <c r="DL991" s="31"/>
      <c r="DM991" s="31"/>
      <c r="DN991" s="31"/>
      <c r="DO991" s="31"/>
      <c r="DP991" s="31"/>
      <c r="DQ991" s="31"/>
      <c r="DR991" s="31"/>
      <c r="DS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  <c r="CP992" s="31"/>
      <c r="CQ992" s="31"/>
      <c r="CR992" s="31"/>
      <c r="CS992" s="31"/>
      <c r="CT992" s="31"/>
      <c r="CU992" s="31"/>
      <c r="CV992" s="31"/>
      <c r="CW992" s="31"/>
      <c r="CX992" s="31"/>
      <c r="CY992" s="31"/>
      <c r="CZ992" s="31"/>
      <c r="DA992" s="31"/>
      <c r="DB992" s="31"/>
      <c r="DC992" s="31"/>
      <c r="DD992" s="31"/>
      <c r="DE992" s="31"/>
      <c r="DF992" s="31"/>
      <c r="DG992" s="31"/>
      <c r="DH992" s="31"/>
      <c r="DI992" s="31"/>
      <c r="DJ992" s="31"/>
      <c r="DK992" s="31"/>
      <c r="DL992" s="31"/>
      <c r="DM992" s="31"/>
      <c r="DN992" s="31"/>
      <c r="DO992" s="31"/>
      <c r="DP992" s="31"/>
      <c r="DQ992" s="31"/>
      <c r="DR992" s="31"/>
      <c r="DS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  <c r="CP993" s="31"/>
      <c r="CQ993" s="31"/>
      <c r="CR993" s="31"/>
      <c r="CS993" s="31"/>
      <c r="CT993" s="31"/>
      <c r="CU993" s="31"/>
      <c r="CV993" s="31"/>
      <c r="CW993" s="31"/>
      <c r="CX993" s="31"/>
      <c r="CY993" s="31"/>
      <c r="CZ993" s="31"/>
      <c r="DA993" s="31"/>
      <c r="DB993" s="31"/>
      <c r="DC993" s="31"/>
      <c r="DD993" s="31"/>
      <c r="DE993" s="31"/>
      <c r="DF993" s="31"/>
      <c r="DG993" s="31"/>
      <c r="DH993" s="31"/>
      <c r="DI993" s="31"/>
      <c r="DJ993" s="31"/>
      <c r="DK993" s="31"/>
      <c r="DL993" s="31"/>
      <c r="DM993" s="31"/>
      <c r="DN993" s="31"/>
      <c r="DO993" s="31"/>
      <c r="DP993" s="31"/>
      <c r="DQ993" s="31"/>
      <c r="DR993" s="31"/>
      <c r="DS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  <c r="CV994" s="31"/>
      <c r="CW994" s="31"/>
      <c r="CX994" s="31"/>
      <c r="CY994" s="31"/>
      <c r="CZ994" s="31"/>
      <c r="DA994" s="31"/>
      <c r="DB994" s="31"/>
      <c r="DC994" s="31"/>
      <c r="DD994" s="31"/>
      <c r="DE994" s="31"/>
      <c r="DF994" s="31"/>
      <c r="DG994" s="31"/>
      <c r="DH994" s="31"/>
      <c r="DI994" s="31"/>
      <c r="DJ994" s="31"/>
      <c r="DK994" s="31"/>
      <c r="DL994" s="31"/>
      <c r="DM994" s="31"/>
      <c r="DN994" s="31"/>
      <c r="DO994" s="31"/>
      <c r="DP994" s="31"/>
      <c r="DQ994" s="31"/>
      <c r="DR994" s="31"/>
      <c r="DS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  <c r="CP995" s="31"/>
      <c r="CQ995" s="31"/>
      <c r="CR995" s="31"/>
      <c r="CS995" s="31"/>
      <c r="CT995" s="31"/>
      <c r="CU995" s="31"/>
      <c r="CV995" s="31"/>
      <c r="CW995" s="31"/>
      <c r="CX995" s="31"/>
      <c r="CY995" s="31"/>
      <c r="CZ995" s="31"/>
      <c r="DA995" s="31"/>
      <c r="DB995" s="31"/>
      <c r="DC995" s="31"/>
      <c r="DD995" s="31"/>
      <c r="DE995" s="31"/>
      <c r="DF995" s="31"/>
      <c r="DG995" s="31"/>
      <c r="DH995" s="31"/>
      <c r="DI995" s="31"/>
      <c r="DJ995" s="31"/>
      <c r="DK995" s="31"/>
      <c r="DL995" s="31"/>
      <c r="DM995" s="31"/>
      <c r="DN995" s="31"/>
      <c r="DO995" s="31"/>
      <c r="DP995" s="31"/>
      <c r="DQ995" s="31"/>
      <c r="DR995" s="31"/>
      <c r="DS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  <c r="CP996" s="31"/>
      <c r="CQ996" s="31"/>
      <c r="CR996" s="31"/>
      <c r="CS996" s="31"/>
      <c r="CT996" s="31"/>
      <c r="CU996" s="31"/>
      <c r="CV996" s="31"/>
      <c r="CW996" s="31"/>
      <c r="CX996" s="31"/>
      <c r="CY996" s="31"/>
      <c r="CZ996" s="31"/>
      <c r="DA996" s="31"/>
      <c r="DB996" s="31"/>
      <c r="DC996" s="31"/>
      <c r="DD996" s="31"/>
      <c r="DE996" s="31"/>
      <c r="DF996" s="31"/>
      <c r="DG996" s="31"/>
      <c r="DH996" s="31"/>
      <c r="DI996" s="31"/>
      <c r="DJ996" s="31"/>
      <c r="DK996" s="31"/>
      <c r="DL996" s="31"/>
      <c r="DM996" s="31"/>
      <c r="DN996" s="31"/>
      <c r="DO996" s="31"/>
      <c r="DP996" s="31"/>
      <c r="DQ996" s="31"/>
      <c r="DR996" s="31"/>
      <c r="DS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  <c r="CP997" s="31"/>
      <c r="CQ997" s="31"/>
      <c r="CR997" s="31"/>
      <c r="CS997" s="31"/>
      <c r="CT997" s="31"/>
      <c r="CU997" s="31"/>
      <c r="CV997" s="31"/>
      <c r="CW997" s="31"/>
      <c r="CX997" s="31"/>
      <c r="CY997" s="31"/>
      <c r="CZ997" s="31"/>
      <c r="DA997" s="31"/>
      <c r="DB997" s="31"/>
      <c r="DC997" s="31"/>
      <c r="DD997" s="31"/>
      <c r="DE997" s="31"/>
      <c r="DF997" s="31"/>
      <c r="DG997" s="31"/>
      <c r="DH997" s="31"/>
      <c r="DI997" s="31"/>
      <c r="DJ997" s="31"/>
      <c r="DK997" s="31"/>
      <c r="DL997" s="31"/>
      <c r="DM997" s="31"/>
      <c r="DN997" s="31"/>
      <c r="DO997" s="31"/>
      <c r="DP997" s="31"/>
      <c r="DQ997" s="31"/>
      <c r="DR997" s="31"/>
      <c r="DS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  <c r="CP998" s="31"/>
      <c r="CQ998" s="31"/>
      <c r="CR998" s="31"/>
      <c r="CS998" s="31"/>
      <c r="CT998" s="31"/>
      <c r="CU998" s="31"/>
      <c r="CV998" s="31"/>
      <c r="CW998" s="31"/>
      <c r="CX998" s="31"/>
      <c r="CY998" s="31"/>
      <c r="CZ998" s="31"/>
      <c r="DA998" s="31"/>
      <c r="DB998" s="31"/>
      <c r="DC998" s="31"/>
      <c r="DD998" s="31"/>
      <c r="DE998" s="31"/>
      <c r="DF998" s="31"/>
      <c r="DG998" s="31"/>
      <c r="DH998" s="31"/>
      <c r="DI998" s="31"/>
      <c r="DJ998" s="31"/>
      <c r="DK998" s="31"/>
      <c r="DL998" s="31"/>
      <c r="DM998" s="31"/>
      <c r="DN998" s="31"/>
      <c r="DO998" s="31"/>
      <c r="DP998" s="31"/>
      <c r="DQ998" s="31"/>
      <c r="DR998" s="31"/>
      <c r="DS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  <c r="CP999" s="31"/>
      <c r="CQ999" s="31"/>
      <c r="CR999" s="31"/>
      <c r="CS999" s="31"/>
      <c r="CT999" s="31"/>
      <c r="CU999" s="31"/>
      <c r="CV999" s="31"/>
      <c r="CW999" s="31"/>
      <c r="CX999" s="31"/>
      <c r="CY999" s="31"/>
      <c r="CZ999" s="31"/>
      <c r="DA999" s="31"/>
      <c r="DB999" s="31"/>
      <c r="DC999" s="31"/>
      <c r="DD999" s="31"/>
      <c r="DE999" s="31"/>
      <c r="DF999" s="31"/>
      <c r="DG999" s="31"/>
      <c r="DH999" s="31"/>
      <c r="DI999" s="31"/>
      <c r="DJ999" s="31"/>
      <c r="DK999" s="31"/>
      <c r="DL999" s="31"/>
      <c r="DM999" s="31"/>
      <c r="DN999" s="31"/>
      <c r="DO999" s="31"/>
      <c r="DP999" s="31"/>
      <c r="DQ999" s="31"/>
      <c r="DR999" s="31"/>
      <c r="DS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  <c r="CF1000" s="31"/>
      <c r="CG1000" s="31"/>
      <c r="CH1000" s="31"/>
      <c r="CI1000" s="31"/>
      <c r="CJ1000" s="31"/>
      <c r="CK1000" s="31"/>
      <c r="CL1000" s="31"/>
      <c r="CM1000" s="31"/>
      <c r="CN1000" s="31"/>
      <c r="CO1000" s="31"/>
      <c r="CP1000" s="31"/>
      <c r="CQ1000" s="31"/>
      <c r="CR1000" s="31"/>
      <c r="CS1000" s="31"/>
      <c r="CT1000" s="31"/>
      <c r="CU1000" s="31"/>
      <c r="CV1000" s="31"/>
      <c r="CW1000" s="31"/>
      <c r="CX1000" s="31"/>
      <c r="CY1000" s="31"/>
      <c r="CZ1000" s="31"/>
      <c r="DA1000" s="31"/>
      <c r="DB1000" s="31"/>
      <c r="DC1000" s="31"/>
      <c r="DD1000" s="31"/>
      <c r="DE1000" s="31"/>
      <c r="DF1000" s="31"/>
      <c r="DG1000" s="31"/>
      <c r="DH1000" s="31"/>
      <c r="DI1000" s="31"/>
      <c r="DJ1000" s="31"/>
      <c r="DK1000" s="31"/>
      <c r="DL1000" s="31"/>
      <c r="DM1000" s="31"/>
      <c r="DN1000" s="31"/>
      <c r="DO1000" s="31"/>
      <c r="DP1000" s="31"/>
      <c r="DQ1000" s="31"/>
      <c r="DR1000" s="31"/>
      <c r="DS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1"/>
      <c r="BD1001" s="31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  <c r="BO1001" s="31"/>
      <c r="BP1001" s="31"/>
      <c r="BQ1001" s="31"/>
      <c r="BR1001" s="31"/>
      <c r="BS1001" s="31"/>
      <c r="BT1001" s="31"/>
      <c r="BU1001" s="31"/>
      <c r="BV1001" s="31"/>
      <c r="BW1001" s="31"/>
      <c r="BX1001" s="31"/>
      <c r="BY1001" s="31"/>
      <c r="BZ1001" s="31"/>
      <c r="CA1001" s="31"/>
      <c r="CB1001" s="31"/>
      <c r="CC1001" s="31"/>
      <c r="CD1001" s="31"/>
      <c r="CE1001" s="31"/>
      <c r="CF1001" s="31"/>
      <c r="CG1001" s="31"/>
      <c r="CH1001" s="31"/>
      <c r="CI1001" s="31"/>
      <c r="CJ1001" s="31"/>
      <c r="CK1001" s="31"/>
      <c r="CL1001" s="31"/>
      <c r="CM1001" s="31"/>
      <c r="CN1001" s="31"/>
      <c r="CO1001" s="31"/>
      <c r="CP1001" s="31"/>
      <c r="CQ1001" s="31"/>
      <c r="CR1001" s="31"/>
      <c r="CS1001" s="31"/>
      <c r="CT1001" s="31"/>
      <c r="CU1001" s="31"/>
      <c r="CV1001" s="31"/>
      <c r="CW1001" s="31"/>
      <c r="CX1001" s="31"/>
      <c r="CY1001" s="31"/>
      <c r="CZ1001" s="31"/>
      <c r="DA1001" s="31"/>
      <c r="DB1001" s="31"/>
      <c r="DC1001" s="31"/>
      <c r="DD1001" s="31"/>
      <c r="DE1001" s="31"/>
      <c r="DF1001" s="31"/>
      <c r="DG1001" s="31"/>
      <c r="DH1001" s="31"/>
      <c r="DI1001" s="31"/>
      <c r="DJ1001" s="31"/>
      <c r="DK1001" s="31"/>
      <c r="DL1001" s="31"/>
      <c r="DM1001" s="31"/>
      <c r="DN1001" s="31"/>
      <c r="DO1001" s="31"/>
      <c r="DP1001" s="31"/>
      <c r="DQ1001" s="31"/>
      <c r="DR1001" s="31"/>
      <c r="DS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  <c r="AX1002" s="31"/>
      <c r="AY1002" s="31"/>
      <c r="AZ1002" s="31"/>
      <c r="BA1002" s="31"/>
      <c r="BB1002" s="31"/>
      <c r="BC1002" s="31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  <c r="BQ1002" s="31"/>
      <c r="BR1002" s="31"/>
      <c r="BS1002" s="31"/>
      <c r="BT1002" s="31"/>
      <c r="BU1002" s="31"/>
      <c r="BV1002" s="31"/>
      <c r="BW1002" s="31"/>
      <c r="BX1002" s="31"/>
      <c r="BY1002" s="31"/>
      <c r="BZ1002" s="31"/>
      <c r="CA1002" s="31"/>
      <c r="CB1002" s="31"/>
      <c r="CC1002" s="31"/>
      <c r="CD1002" s="31"/>
      <c r="CE1002" s="31"/>
      <c r="CF1002" s="31"/>
      <c r="CG1002" s="31"/>
      <c r="CH1002" s="31"/>
      <c r="CI1002" s="31"/>
      <c r="CJ1002" s="31"/>
      <c r="CK1002" s="31"/>
      <c r="CL1002" s="31"/>
      <c r="CM1002" s="31"/>
      <c r="CN1002" s="31"/>
      <c r="CO1002" s="31"/>
      <c r="CP1002" s="31"/>
      <c r="CQ1002" s="31"/>
      <c r="CR1002" s="31"/>
      <c r="CS1002" s="31"/>
      <c r="CT1002" s="31"/>
      <c r="CU1002" s="31"/>
      <c r="CV1002" s="31"/>
      <c r="CW1002" s="31"/>
      <c r="CX1002" s="31"/>
      <c r="CY1002" s="31"/>
      <c r="CZ1002" s="31"/>
      <c r="DA1002" s="31"/>
      <c r="DB1002" s="31"/>
      <c r="DC1002" s="31"/>
      <c r="DD1002" s="31"/>
      <c r="DE1002" s="31"/>
      <c r="DF1002" s="31"/>
      <c r="DG1002" s="31"/>
      <c r="DH1002" s="31"/>
      <c r="DI1002" s="31"/>
      <c r="DJ1002" s="31"/>
      <c r="DK1002" s="31"/>
      <c r="DL1002" s="31"/>
      <c r="DM1002" s="31"/>
      <c r="DN1002" s="31"/>
      <c r="DO1002" s="31"/>
      <c r="DP1002" s="31"/>
      <c r="DQ1002" s="31"/>
      <c r="DR1002" s="31"/>
      <c r="DS1002" s="31"/>
    </row>
  </sheetData>
  <mergeCells count="21">
    <mergeCell ref="M11:U11"/>
    <mergeCell ref="M17:T17"/>
    <mergeCell ref="AT17:BB17"/>
    <mergeCell ref="M36:T36"/>
    <mergeCell ref="AM36:AT36"/>
    <mergeCell ref="M9:U10"/>
    <mergeCell ref="Z9:AH10"/>
    <mergeCell ref="AM9:AU10"/>
    <mergeCell ref="AZ9:BH10"/>
    <mergeCell ref="Z11:AH11"/>
    <mergeCell ref="AM11:AU11"/>
    <mergeCell ref="AZ11:BH11"/>
    <mergeCell ref="B7:I8"/>
    <mergeCell ref="F9:I9"/>
    <mergeCell ref="F10:I10"/>
    <mergeCell ref="B9:D9"/>
    <mergeCell ref="B10:D10"/>
    <mergeCell ref="B13:I14"/>
    <mergeCell ref="B15:I15"/>
    <mergeCell ref="B16:I16"/>
    <mergeCell ref="B17:I17"/>
  </mergeCells>
  <dataValidations>
    <dataValidation type="list" allowBlank="1" showErrorMessage="1" sqref="B7">
      <formula1>Settings!$A$4:$A$14</formula1>
    </dataValidation>
  </dataValidations>
  <hyperlinks>
    <hyperlink display="Data" location="Data!A1" ref="B15"/>
    <hyperlink display="Pivots" location="Pivots!A1" ref="B16"/>
    <hyperlink display="Settings" location="Settings!A1" ref="B1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5.25"/>
    <col customWidth="1" min="5" max="5" width="19.63"/>
  </cols>
  <sheetData>
    <row r="1">
      <c r="A1" s="32" t="s">
        <v>14</v>
      </c>
      <c r="B1" s="32" t="s">
        <v>15</v>
      </c>
      <c r="C1" s="32" t="s">
        <v>16</v>
      </c>
      <c r="D1" s="32" t="s">
        <v>17</v>
      </c>
      <c r="E1" s="32" t="s">
        <v>18</v>
      </c>
      <c r="F1" s="32" t="s">
        <v>19</v>
      </c>
      <c r="G1" s="33" t="s">
        <v>20</v>
      </c>
      <c r="H1" s="33" t="s">
        <v>21</v>
      </c>
      <c r="I1" s="33" t="s">
        <v>22</v>
      </c>
    </row>
    <row r="2">
      <c r="A2" s="34">
        <v>45658.0</v>
      </c>
      <c r="B2" s="35" t="s">
        <v>23</v>
      </c>
      <c r="C2" s="36">
        <v>121.45</v>
      </c>
      <c r="D2" s="35" t="s">
        <v>24</v>
      </c>
      <c r="E2" s="36">
        <v>0.0</v>
      </c>
      <c r="F2" s="35" t="s">
        <v>25</v>
      </c>
      <c r="G2" s="37">
        <v>1.0</v>
      </c>
      <c r="H2" s="37">
        <v>0.0</v>
      </c>
      <c r="I2" s="37">
        <v>0.0</v>
      </c>
    </row>
    <row r="3">
      <c r="A3" s="34">
        <v>45659.0</v>
      </c>
      <c r="B3" s="35" t="s">
        <v>26</v>
      </c>
      <c r="C3" s="36">
        <v>89.99</v>
      </c>
      <c r="D3" s="35" t="s">
        <v>27</v>
      </c>
      <c r="E3" s="36">
        <v>8500.0</v>
      </c>
      <c r="F3" s="35" t="s">
        <v>28</v>
      </c>
      <c r="G3" s="37">
        <v>1.0</v>
      </c>
      <c r="H3" s="37">
        <v>1.0</v>
      </c>
      <c r="I3" s="37">
        <v>1.0</v>
      </c>
    </row>
    <row r="4">
      <c r="A4" s="34">
        <v>45660.0</v>
      </c>
      <c r="B4" s="35" t="s">
        <v>29</v>
      </c>
      <c r="C4" s="36">
        <v>154.3</v>
      </c>
      <c r="D4" s="35" t="s">
        <v>24</v>
      </c>
      <c r="E4" s="36">
        <v>0.0</v>
      </c>
      <c r="F4" s="35" t="s">
        <v>30</v>
      </c>
      <c r="G4" s="37">
        <v>1.0</v>
      </c>
      <c r="H4" s="37">
        <v>0.0</v>
      </c>
      <c r="I4" s="37">
        <v>0.0</v>
      </c>
    </row>
    <row r="5">
      <c r="A5" s="34">
        <v>45661.0</v>
      </c>
      <c r="B5" s="35" t="s">
        <v>31</v>
      </c>
      <c r="C5" s="36">
        <v>110.75</v>
      </c>
      <c r="D5" s="35" t="s">
        <v>27</v>
      </c>
      <c r="E5" s="36">
        <v>12500.0</v>
      </c>
      <c r="F5" s="35" t="s">
        <v>32</v>
      </c>
      <c r="G5" s="37">
        <v>1.0</v>
      </c>
      <c r="H5" s="37">
        <v>1.0</v>
      </c>
      <c r="I5" s="37">
        <v>1.0</v>
      </c>
    </row>
    <row r="6">
      <c r="A6" s="34">
        <v>45662.0</v>
      </c>
      <c r="B6" s="35" t="s">
        <v>33</v>
      </c>
      <c r="C6" s="36">
        <v>78.6</v>
      </c>
      <c r="D6" s="35" t="s">
        <v>24</v>
      </c>
      <c r="E6" s="36">
        <v>0.0</v>
      </c>
      <c r="F6" s="35" t="s">
        <v>34</v>
      </c>
      <c r="G6" s="37">
        <v>1.0</v>
      </c>
      <c r="H6" s="37">
        <v>0.0</v>
      </c>
      <c r="I6" s="37">
        <v>0.0</v>
      </c>
    </row>
    <row r="7">
      <c r="A7" s="34">
        <v>45663.0</v>
      </c>
      <c r="B7" s="35" t="s">
        <v>35</v>
      </c>
      <c r="C7" s="36">
        <v>135.2</v>
      </c>
      <c r="D7" s="35" t="s">
        <v>27</v>
      </c>
      <c r="E7" s="36">
        <v>0.0</v>
      </c>
      <c r="F7" s="35" t="s">
        <v>28</v>
      </c>
      <c r="G7" s="37">
        <v>1.0</v>
      </c>
      <c r="H7" s="37">
        <v>1.0</v>
      </c>
      <c r="I7" s="37">
        <v>0.0</v>
      </c>
    </row>
    <row r="8">
      <c r="A8" s="34">
        <v>45664.0</v>
      </c>
      <c r="B8" s="35" t="s">
        <v>36</v>
      </c>
      <c r="C8" s="36">
        <v>96.45</v>
      </c>
      <c r="D8" s="35" t="s">
        <v>24</v>
      </c>
      <c r="E8" s="36">
        <v>0.0</v>
      </c>
      <c r="F8" s="35" t="s">
        <v>25</v>
      </c>
      <c r="G8" s="37">
        <v>1.0</v>
      </c>
      <c r="H8" s="37">
        <v>0.0</v>
      </c>
      <c r="I8" s="37">
        <v>0.0</v>
      </c>
    </row>
    <row r="9">
      <c r="A9" s="34">
        <v>45665.0</v>
      </c>
      <c r="B9" s="35" t="s">
        <v>37</v>
      </c>
      <c r="C9" s="36">
        <v>142.8</v>
      </c>
      <c r="D9" s="35" t="s">
        <v>27</v>
      </c>
      <c r="E9" s="36">
        <v>9800.0</v>
      </c>
      <c r="F9" s="35" t="s">
        <v>30</v>
      </c>
      <c r="G9" s="37">
        <v>1.0</v>
      </c>
      <c r="H9" s="37">
        <v>1.0</v>
      </c>
      <c r="I9" s="37">
        <v>1.0</v>
      </c>
    </row>
    <row r="10">
      <c r="A10" s="34">
        <v>45666.0</v>
      </c>
      <c r="B10" s="35" t="s">
        <v>38</v>
      </c>
      <c r="C10" s="36">
        <v>105.9</v>
      </c>
      <c r="D10" s="35" t="s">
        <v>24</v>
      </c>
      <c r="E10" s="36">
        <v>0.0</v>
      </c>
      <c r="F10" s="35" t="s">
        <v>32</v>
      </c>
      <c r="G10" s="37">
        <v>1.0</v>
      </c>
      <c r="H10" s="37">
        <v>0.0</v>
      </c>
      <c r="I10" s="37">
        <v>0.0</v>
      </c>
    </row>
    <row r="11">
      <c r="A11" s="34">
        <v>45667.0</v>
      </c>
      <c r="B11" s="35" t="s">
        <v>39</v>
      </c>
      <c r="C11" s="36">
        <v>82.15</v>
      </c>
      <c r="D11" s="35" t="s">
        <v>27</v>
      </c>
      <c r="E11" s="36">
        <v>15200.0</v>
      </c>
      <c r="F11" s="35" t="s">
        <v>34</v>
      </c>
      <c r="G11" s="37">
        <v>1.0</v>
      </c>
      <c r="H11" s="37">
        <v>1.0</v>
      </c>
      <c r="I11" s="37">
        <v>1.0</v>
      </c>
    </row>
    <row r="12">
      <c r="A12" s="34">
        <v>45668.0</v>
      </c>
      <c r="B12" s="35" t="s">
        <v>40</v>
      </c>
      <c r="C12" s="36">
        <v>160.55</v>
      </c>
      <c r="D12" s="35" t="s">
        <v>24</v>
      </c>
      <c r="E12" s="36">
        <v>0.0</v>
      </c>
      <c r="F12" s="35" t="s">
        <v>25</v>
      </c>
      <c r="G12" s="37">
        <v>1.0</v>
      </c>
      <c r="H12" s="37">
        <v>0.0</v>
      </c>
      <c r="I12" s="37">
        <v>0.0</v>
      </c>
    </row>
    <row r="13">
      <c r="A13" s="34">
        <v>45669.0</v>
      </c>
      <c r="B13" s="35" t="s">
        <v>41</v>
      </c>
      <c r="C13" s="36">
        <v>92.3</v>
      </c>
      <c r="D13" s="35" t="s">
        <v>27</v>
      </c>
      <c r="E13" s="36">
        <v>7600.0</v>
      </c>
      <c r="F13" s="35" t="s">
        <v>28</v>
      </c>
      <c r="G13" s="37">
        <v>1.0</v>
      </c>
      <c r="H13" s="37">
        <v>1.0</v>
      </c>
      <c r="I13" s="37">
        <v>1.0</v>
      </c>
    </row>
    <row r="14">
      <c r="A14" s="34">
        <v>45670.0</v>
      </c>
      <c r="B14" s="35" t="s">
        <v>42</v>
      </c>
      <c r="C14" s="36">
        <v>128.7</v>
      </c>
      <c r="D14" s="35" t="s">
        <v>24</v>
      </c>
      <c r="E14" s="36">
        <v>0.0</v>
      </c>
      <c r="F14" s="35" t="s">
        <v>30</v>
      </c>
      <c r="G14" s="37">
        <v>1.0</v>
      </c>
      <c r="H14" s="37">
        <v>0.0</v>
      </c>
      <c r="I14" s="37">
        <v>0.0</v>
      </c>
    </row>
    <row r="15">
      <c r="A15" s="34">
        <v>45671.0</v>
      </c>
      <c r="B15" s="35" t="s">
        <v>43</v>
      </c>
      <c r="C15" s="36">
        <v>114.65</v>
      </c>
      <c r="D15" s="35" t="s">
        <v>27</v>
      </c>
      <c r="E15" s="36">
        <v>0.0</v>
      </c>
      <c r="F15" s="35" t="s">
        <v>32</v>
      </c>
      <c r="G15" s="37">
        <v>1.0</v>
      </c>
      <c r="H15" s="37">
        <v>1.0</v>
      </c>
      <c r="I15" s="37">
        <v>0.0</v>
      </c>
    </row>
    <row r="16">
      <c r="A16" s="34">
        <v>45672.0</v>
      </c>
      <c r="B16" s="35" t="s">
        <v>44</v>
      </c>
      <c r="C16" s="36">
        <v>85.25</v>
      </c>
      <c r="D16" s="35" t="s">
        <v>24</v>
      </c>
      <c r="E16" s="36">
        <v>0.0</v>
      </c>
      <c r="F16" s="35" t="s">
        <v>34</v>
      </c>
      <c r="G16" s="37">
        <v>1.0</v>
      </c>
      <c r="H16" s="37">
        <v>0.0</v>
      </c>
      <c r="I16" s="37">
        <v>0.0</v>
      </c>
    </row>
    <row r="17">
      <c r="A17" s="34">
        <v>45673.0</v>
      </c>
      <c r="B17" s="35" t="s">
        <v>45</v>
      </c>
      <c r="C17" s="36">
        <v>139.4</v>
      </c>
      <c r="D17" s="35" t="s">
        <v>27</v>
      </c>
      <c r="E17" s="36">
        <v>10300.0</v>
      </c>
      <c r="F17" s="35" t="s">
        <v>25</v>
      </c>
      <c r="G17" s="37">
        <v>1.0</v>
      </c>
      <c r="H17" s="37">
        <v>1.0</v>
      </c>
      <c r="I17" s="37">
        <v>1.0</v>
      </c>
    </row>
    <row r="18">
      <c r="A18" s="34">
        <v>45674.0</v>
      </c>
      <c r="B18" s="35" t="s">
        <v>46</v>
      </c>
      <c r="C18" s="36">
        <v>101.85</v>
      </c>
      <c r="D18" s="35" t="s">
        <v>24</v>
      </c>
      <c r="E18" s="36">
        <v>0.0</v>
      </c>
      <c r="F18" s="35" t="s">
        <v>28</v>
      </c>
      <c r="G18" s="37">
        <v>1.0</v>
      </c>
      <c r="H18" s="37">
        <v>0.0</v>
      </c>
      <c r="I18" s="37">
        <v>0.0</v>
      </c>
    </row>
    <row r="19">
      <c r="A19" s="34">
        <v>45675.0</v>
      </c>
      <c r="B19" s="35" t="s">
        <v>47</v>
      </c>
      <c r="C19" s="36">
        <v>98.75</v>
      </c>
      <c r="D19" s="35" t="s">
        <v>27</v>
      </c>
      <c r="E19" s="36">
        <v>14500.0</v>
      </c>
      <c r="F19" s="35" t="s">
        <v>30</v>
      </c>
      <c r="G19" s="37">
        <v>1.0</v>
      </c>
      <c r="H19" s="37">
        <v>1.0</v>
      </c>
      <c r="I19" s="37">
        <v>1.0</v>
      </c>
    </row>
    <row r="20">
      <c r="A20" s="34">
        <v>45676.0</v>
      </c>
      <c r="B20" s="35" t="s">
        <v>48</v>
      </c>
      <c r="C20" s="36">
        <v>150.2</v>
      </c>
      <c r="D20" s="35" t="s">
        <v>24</v>
      </c>
      <c r="E20" s="36">
        <v>0.0</v>
      </c>
      <c r="F20" s="35" t="s">
        <v>32</v>
      </c>
      <c r="G20" s="37">
        <v>1.0</v>
      </c>
      <c r="H20" s="37">
        <v>0.0</v>
      </c>
      <c r="I20" s="37">
        <v>0.0</v>
      </c>
    </row>
    <row r="21">
      <c r="A21" s="34">
        <v>45677.0</v>
      </c>
      <c r="B21" s="35" t="s">
        <v>49</v>
      </c>
      <c r="C21" s="36">
        <v>108.6</v>
      </c>
      <c r="D21" s="35" t="s">
        <v>27</v>
      </c>
      <c r="E21" s="36">
        <v>8200.0</v>
      </c>
      <c r="F21" s="35" t="s">
        <v>34</v>
      </c>
      <c r="G21" s="37">
        <v>1.0</v>
      </c>
      <c r="H21" s="37">
        <v>1.0</v>
      </c>
      <c r="I21" s="37">
        <v>1.0</v>
      </c>
    </row>
    <row r="22">
      <c r="A22" s="34">
        <v>45678.0</v>
      </c>
      <c r="B22" s="35" t="s">
        <v>50</v>
      </c>
      <c r="C22" s="36">
        <v>132.9</v>
      </c>
      <c r="D22" s="35" t="s">
        <v>24</v>
      </c>
      <c r="E22" s="36">
        <v>0.0</v>
      </c>
      <c r="F22" s="35" t="s">
        <v>25</v>
      </c>
      <c r="G22" s="37">
        <v>1.0</v>
      </c>
      <c r="H22" s="37">
        <v>0.0</v>
      </c>
      <c r="I22" s="37">
        <v>0.0</v>
      </c>
    </row>
    <row r="23">
      <c r="A23" s="34">
        <v>45679.0</v>
      </c>
      <c r="B23" s="35" t="s">
        <v>51</v>
      </c>
      <c r="C23" s="36">
        <v>124.15</v>
      </c>
      <c r="D23" s="35" t="s">
        <v>27</v>
      </c>
      <c r="E23" s="36">
        <v>0.0</v>
      </c>
      <c r="F23" s="35" t="s">
        <v>28</v>
      </c>
      <c r="G23" s="37">
        <v>1.0</v>
      </c>
      <c r="H23" s="37">
        <v>1.0</v>
      </c>
      <c r="I23" s="37">
        <v>0.0</v>
      </c>
    </row>
    <row r="24">
      <c r="A24" s="34">
        <v>45680.0</v>
      </c>
      <c r="B24" s="35" t="s">
        <v>52</v>
      </c>
      <c r="C24" s="36">
        <v>94.55</v>
      </c>
      <c r="D24" s="35" t="s">
        <v>24</v>
      </c>
      <c r="E24" s="36">
        <v>0.0</v>
      </c>
      <c r="F24" s="35" t="s">
        <v>30</v>
      </c>
      <c r="G24" s="37">
        <v>1.0</v>
      </c>
      <c r="H24" s="37">
        <v>0.0</v>
      </c>
      <c r="I24" s="37">
        <v>0.0</v>
      </c>
    </row>
    <row r="25">
      <c r="A25" s="34">
        <v>45681.0</v>
      </c>
      <c r="B25" s="35" t="s">
        <v>53</v>
      </c>
      <c r="C25" s="36">
        <v>118.35</v>
      </c>
      <c r="D25" s="35" t="s">
        <v>27</v>
      </c>
      <c r="E25" s="36">
        <v>11900.0</v>
      </c>
      <c r="F25" s="35" t="s">
        <v>32</v>
      </c>
      <c r="G25" s="37">
        <v>1.0</v>
      </c>
      <c r="H25" s="37">
        <v>1.0</v>
      </c>
      <c r="I25" s="37">
        <v>1.0</v>
      </c>
    </row>
    <row r="26">
      <c r="A26" s="34">
        <v>45682.0</v>
      </c>
      <c r="B26" s="35" t="s">
        <v>54</v>
      </c>
      <c r="C26" s="36">
        <v>104.8</v>
      </c>
      <c r="D26" s="35" t="s">
        <v>24</v>
      </c>
      <c r="E26" s="36">
        <v>0.0</v>
      </c>
      <c r="F26" s="35" t="s">
        <v>34</v>
      </c>
      <c r="G26" s="37">
        <v>1.0</v>
      </c>
      <c r="H26" s="37">
        <v>0.0</v>
      </c>
      <c r="I26" s="37">
        <v>0.0</v>
      </c>
    </row>
    <row r="27">
      <c r="A27" s="34">
        <v>45683.0</v>
      </c>
      <c r="B27" s="35" t="s">
        <v>55</v>
      </c>
      <c r="C27" s="36">
        <v>146.5</v>
      </c>
      <c r="D27" s="35" t="s">
        <v>27</v>
      </c>
      <c r="E27" s="36">
        <v>16800.0</v>
      </c>
      <c r="F27" s="35" t="s">
        <v>25</v>
      </c>
      <c r="G27" s="37">
        <v>1.0</v>
      </c>
      <c r="H27" s="37">
        <v>1.0</v>
      </c>
      <c r="I27" s="37">
        <v>1.0</v>
      </c>
    </row>
    <row r="28">
      <c r="A28" s="34">
        <v>45684.0</v>
      </c>
      <c r="B28" s="35" t="s">
        <v>56</v>
      </c>
      <c r="C28" s="36">
        <v>80.45</v>
      </c>
      <c r="D28" s="35" t="s">
        <v>24</v>
      </c>
      <c r="E28" s="36">
        <v>0.0</v>
      </c>
      <c r="F28" s="35" t="s">
        <v>28</v>
      </c>
      <c r="G28" s="37">
        <v>1.0</v>
      </c>
      <c r="H28" s="37">
        <v>0.0</v>
      </c>
      <c r="I28" s="37">
        <v>0.0</v>
      </c>
    </row>
    <row r="29">
      <c r="A29" s="34">
        <v>45685.0</v>
      </c>
      <c r="B29" s="35" t="s">
        <v>57</v>
      </c>
      <c r="C29" s="36">
        <v>112.25</v>
      </c>
      <c r="D29" s="35" t="s">
        <v>27</v>
      </c>
      <c r="E29" s="36">
        <v>0.0</v>
      </c>
      <c r="F29" s="35" t="s">
        <v>30</v>
      </c>
      <c r="G29" s="37">
        <v>1.0</v>
      </c>
      <c r="H29" s="37">
        <v>1.0</v>
      </c>
      <c r="I29" s="37">
        <v>0.0</v>
      </c>
    </row>
    <row r="30">
      <c r="A30" s="34">
        <v>45686.0</v>
      </c>
      <c r="B30" s="35" t="s">
        <v>58</v>
      </c>
      <c r="C30" s="36">
        <v>158.9</v>
      </c>
      <c r="D30" s="35" t="s">
        <v>24</v>
      </c>
      <c r="E30" s="36">
        <v>0.0</v>
      </c>
      <c r="F30" s="35" t="s">
        <v>32</v>
      </c>
      <c r="G30" s="37">
        <v>1.0</v>
      </c>
      <c r="H30" s="37">
        <v>0.0</v>
      </c>
      <c r="I30" s="37">
        <v>0.0</v>
      </c>
    </row>
    <row r="31">
      <c r="A31" s="34">
        <v>45687.0</v>
      </c>
      <c r="B31" s="35" t="s">
        <v>59</v>
      </c>
      <c r="C31" s="36">
        <v>107.65</v>
      </c>
      <c r="D31" s="35" t="s">
        <v>27</v>
      </c>
      <c r="E31" s="36">
        <v>9500.0</v>
      </c>
      <c r="F31" s="35" t="s">
        <v>34</v>
      </c>
      <c r="G31" s="37">
        <v>1.0</v>
      </c>
      <c r="H31" s="37">
        <v>1.0</v>
      </c>
      <c r="I31" s="37">
        <v>1.0</v>
      </c>
    </row>
    <row r="32">
      <c r="A32" s="34">
        <v>45688.0</v>
      </c>
      <c r="B32" s="35" t="s">
        <v>23</v>
      </c>
      <c r="C32" s="36">
        <v>121.45</v>
      </c>
      <c r="D32" s="35" t="s">
        <v>24</v>
      </c>
      <c r="E32" s="36">
        <v>0.0</v>
      </c>
      <c r="F32" s="35" t="s">
        <v>25</v>
      </c>
      <c r="G32" s="37">
        <v>1.0</v>
      </c>
      <c r="H32" s="37">
        <v>0.0</v>
      </c>
      <c r="I32" s="37">
        <v>0.0</v>
      </c>
    </row>
    <row r="33">
      <c r="A33" s="34">
        <v>45689.0</v>
      </c>
      <c r="B33" s="35" t="s">
        <v>26</v>
      </c>
      <c r="C33" s="36">
        <v>89.99</v>
      </c>
      <c r="D33" s="35" t="s">
        <v>27</v>
      </c>
      <c r="E33" s="36">
        <v>8500.0</v>
      </c>
      <c r="F33" s="35" t="s">
        <v>28</v>
      </c>
      <c r="G33" s="37">
        <v>1.0</v>
      </c>
      <c r="H33" s="37">
        <v>1.0</v>
      </c>
      <c r="I33" s="37">
        <v>1.0</v>
      </c>
    </row>
    <row r="34">
      <c r="A34" s="34">
        <v>45690.0</v>
      </c>
      <c r="B34" s="35" t="s">
        <v>29</v>
      </c>
      <c r="C34" s="36">
        <v>154.3</v>
      </c>
      <c r="D34" s="35" t="s">
        <v>24</v>
      </c>
      <c r="E34" s="36">
        <v>0.0</v>
      </c>
      <c r="F34" s="35" t="s">
        <v>30</v>
      </c>
      <c r="G34" s="37">
        <v>1.0</v>
      </c>
      <c r="H34" s="37">
        <v>0.0</v>
      </c>
      <c r="I34" s="37">
        <v>0.0</v>
      </c>
    </row>
    <row r="35">
      <c r="A35" s="34">
        <v>45691.0</v>
      </c>
      <c r="B35" s="35" t="s">
        <v>31</v>
      </c>
      <c r="C35" s="36">
        <v>110.75</v>
      </c>
      <c r="D35" s="35" t="s">
        <v>27</v>
      </c>
      <c r="E35" s="36">
        <v>12500.0</v>
      </c>
      <c r="F35" s="35" t="s">
        <v>32</v>
      </c>
      <c r="G35" s="37">
        <v>1.0</v>
      </c>
      <c r="H35" s="37">
        <v>1.0</v>
      </c>
      <c r="I35" s="37">
        <v>1.0</v>
      </c>
    </row>
    <row r="36">
      <c r="A36" s="34">
        <v>45692.0</v>
      </c>
      <c r="B36" s="35" t="s">
        <v>33</v>
      </c>
      <c r="C36" s="36">
        <v>78.6</v>
      </c>
      <c r="D36" s="35" t="s">
        <v>24</v>
      </c>
      <c r="E36" s="36">
        <v>0.0</v>
      </c>
      <c r="F36" s="35" t="s">
        <v>34</v>
      </c>
      <c r="G36" s="37">
        <v>1.0</v>
      </c>
      <c r="H36" s="37">
        <v>0.0</v>
      </c>
      <c r="I36" s="37">
        <v>0.0</v>
      </c>
    </row>
    <row r="37">
      <c r="A37" s="34">
        <v>45693.0</v>
      </c>
      <c r="B37" s="35" t="s">
        <v>35</v>
      </c>
      <c r="C37" s="36">
        <v>135.2</v>
      </c>
      <c r="D37" s="35" t="s">
        <v>27</v>
      </c>
      <c r="E37" s="36">
        <v>0.0</v>
      </c>
      <c r="F37" s="35" t="s">
        <v>28</v>
      </c>
      <c r="G37" s="37">
        <v>1.0</v>
      </c>
      <c r="H37" s="37">
        <v>1.0</v>
      </c>
      <c r="I37" s="37">
        <v>0.0</v>
      </c>
    </row>
    <row r="38">
      <c r="A38" s="34">
        <v>45694.0</v>
      </c>
      <c r="B38" s="35" t="s">
        <v>36</v>
      </c>
      <c r="C38" s="36">
        <v>96.45</v>
      </c>
      <c r="D38" s="35" t="s">
        <v>24</v>
      </c>
      <c r="E38" s="36">
        <v>0.0</v>
      </c>
      <c r="F38" s="35" t="s">
        <v>25</v>
      </c>
      <c r="G38" s="37">
        <v>1.0</v>
      </c>
      <c r="H38" s="37">
        <v>0.0</v>
      </c>
      <c r="I38" s="37">
        <v>0.0</v>
      </c>
    </row>
    <row r="39">
      <c r="A39" s="34">
        <v>45695.0</v>
      </c>
      <c r="B39" s="35" t="s">
        <v>37</v>
      </c>
      <c r="C39" s="36">
        <v>142.8</v>
      </c>
      <c r="D39" s="35" t="s">
        <v>27</v>
      </c>
      <c r="E39" s="36">
        <v>9800.0</v>
      </c>
      <c r="F39" s="35" t="s">
        <v>30</v>
      </c>
      <c r="G39" s="37">
        <v>1.0</v>
      </c>
      <c r="H39" s="37">
        <v>1.0</v>
      </c>
      <c r="I39" s="37">
        <v>1.0</v>
      </c>
    </row>
    <row r="40">
      <c r="A40" s="34">
        <v>45696.0</v>
      </c>
      <c r="B40" s="35" t="s">
        <v>38</v>
      </c>
      <c r="C40" s="36">
        <v>105.9</v>
      </c>
      <c r="D40" s="35" t="s">
        <v>24</v>
      </c>
      <c r="E40" s="36">
        <v>0.0</v>
      </c>
      <c r="F40" s="35" t="s">
        <v>32</v>
      </c>
      <c r="G40" s="37">
        <v>1.0</v>
      </c>
      <c r="H40" s="37">
        <v>0.0</v>
      </c>
      <c r="I40" s="37">
        <v>0.0</v>
      </c>
    </row>
    <row r="41">
      <c r="A41" s="34">
        <v>45697.0</v>
      </c>
      <c r="B41" s="35" t="s">
        <v>39</v>
      </c>
      <c r="C41" s="36">
        <v>82.15</v>
      </c>
      <c r="D41" s="35" t="s">
        <v>27</v>
      </c>
      <c r="E41" s="36">
        <v>15200.0</v>
      </c>
      <c r="F41" s="35" t="s">
        <v>34</v>
      </c>
      <c r="G41" s="37">
        <v>1.0</v>
      </c>
      <c r="H41" s="37">
        <v>1.0</v>
      </c>
      <c r="I41" s="37">
        <v>1.0</v>
      </c>
    </row>
    <row r="42">
      <c r="A42" s="34">
        <v>45698.0</v>
      </c>
      <c r="B42" s="35" t="s">
        <v>40</v>
      </c>
      <c r="C42" s="36">
        <v>160.55</v>
      </c>
      <c r="D42" s="35" t="s">
        <v>24</v>
      </c>
      <c r="E42" s="36">
        <v>0.0</v>
      </c>
      <c r="F42" s="35" t="s">
        <v>25</v>
      </c>
      <c r="G42" s="37">
        <v>1.0</v>
      </c>
      <c r="H42" s="37">
        <v>0.0</v>
      </c>
      <c r="I42" s="37">
        <v>0.0</v>
      </c>
    </row>
    <row r="43">
      <c r="A43" s="34">
        <v>45699.0</v>
      </c>
      <c r="B43" s="35" t="s">
        <v>41</v>
      </c>
      <c r="C43" s="36">
        <v>92.3</v>
      </c>
      <c r="D43" s="35" t="s">
        <v>27</v>
      </c>
      <c r="E43" s="36">
        <v>7600.0</v>
      </c>
      <c r="F43" s="35" t="s">
        <v>28</v>
      </c>
      <c r="G43" s="37">
        <v>1.0</v>
      </c>
      <c r="H43" s="37">
        <v>1.0</v>
      </c>
      <c r="I43" s="37">
        <v>1.0</v>
      </c>
    </row>
    <row r="44">
      <c r="A44" s="34">
        <v>45700.0</v>
      </c>
      <c r="B44" s="35" t="s">
        <v>42</v>
      </c>
      <c r="C44" s="36">
        <v>128.7</v>
      </c>
      <c r="D44" s="35" t="s">
        <v>24</v>
      </c>
      <c r="E44" s="36">
        <v>0.0</v>
      </c>
      <c r="F44" s="35" t="s">
        <v>30</v>
      </c>
      <c r="G44" s="37">
        <v>1.0</v>
      </c>
      <c r="H44" s="37">
        <v>0.0</v>
      </c>
      <c r="I44" s="37">
        <v>0.0</v>
      </c>
    </row>
    <row r="45">
      <c r="A45" s="34">
        <v>45701.0</v>
      </c>
      <c r="B45" s="35" t="s">
        <v>43</v>
      </c>
      <c r="C45" s="36">
        <v>114.65</v>
      </c>
      <c r="D45" s="35" t="s">
        <v>27</v>
      </c>
      <c r="E45" s="36">
        <v>0.0</v>
      </c>
      <c r="F45" s="35" t="s">
        <v>32</v>
      </c>
      <c r="G45" s="37">
        <v>1.0</v>
      </c>
      <c r="H45" s="37">
        <v>1.0</v>
      </c>
      <c r="I45" s="37">
        <v>0.0</v>
      </c>
    </row>
    <row r="46">
      <c r="A46" s="34">
        <v>45702.0</v>
      </c>
      <c r="B46" s="35" t="s">
        <v>44</v>
      </c>
      <c r="C46" s="36">
        <v>85.25</v>
      </c>
      <c r="D46" s="35" t="s">
        <v>24</v>
      </c>
      <c r="E46" s="36">
        <v>0.0</v>
      </c>
      <c r="F46" s="35" t="s">
        <v>34</v>
      </c>
      <c r="G46" s="37">
        <v>1.0</v>
      </c>
      <c r="H46" s="37">
        <v>0.0</v>
      </c>
      <c r="I46" s="37">
        <v>0.0</v>
      </c>
    </row>
    <row r="47">
      <c r="A47" s="34">
        <v>45703.0</v>
      </c>
      <c r="B47" s="35" t="s">
        <v>45</v>
      </c>
      <c r="C47" s="36">
        <v>139.4</v>
      </c>
      <c r="D47" s="35" t="s">
        <v>27</v>
      </c>
      <c r="E47" s="36">
        <v>10300.0</v>
      </c>
      <c r="F47" s="35" t="s">
        <v>25</v>
      </c>
      <c r="G47" s="37">
        <v>1.0</v>
      </c>
      <c r="H47" s="37">
        <v>1.0</v>
      </c>
      <c r="I47" s="37">
        <v>1.0</v>
      </c>
    </row>
    <row r="48">
      <c r="A48" s="34">
        <v>45704.0</v>
      </c>
      <c r="B48" s="35" t="s">
        <v>46</v>
      </c>
      <c r="C48" s="36">
        <v>101.85</v>
      </c>
      <c r="D48" s="35" t="s">
        <v>24</v>
      </c>
      <c r="E48" s="36">
        <v>0.0</v>
      </c>
      <c r="F48" s="35" t="s">
        <v>28</v>
      </c>
      <c r="G48" s="37">
        <v>1.0</v>
      </c>
      <c r="H48" s="37">
        <v>0.0</v>
      </c>
      <c r="I48" s="37">
        <v>0.0</v>
      </c>
    </row>
    <row r="49">
      <c r="A49" s="34">
        <v>45705.0</v>
      </c>
      <c r="B49" s="35" t="s">
        <v>47</v>
      </c>
      <c r="C49" s="36">
        <v>98.75</v>
      </c>
      <c r="D49" s="35" t="s">
        <v>27</v>
      </c>
      <c r="E49" s="36">
        <v>14500.0</v>
      </c>
      <c r="F49" s="35" t="s">
        <v>30</v>
      </c>
      <c r="G49" s="37">
        <v>1.0</v>
      </c>
      <c r="H49" s="37">
        <v>1.0</v>
      </c>
      <c r="I49" s="37">
        <v>1.0</v>
      </c>
    </row>
    <row r="50">
      <c r="A50" s="34">
        <v>45706.0</v>
      </c>
      <c r="B50" s="35" t="s">
        <v>48</v>
      </c>
      <c r="C50" s="36">
        <v>150.2</v>
      </c>
      <c r="D50" s="35" t="s">
        <v>24</v>
      </c>
      <c r="E50" s="36">
        <v>0.0</v>
      </c>
      <c r="F50" s="35" t="s">
        <v>32</v>
      </c>
      <c r="G50" s="37">
        <v>1.0</v>
      </c>
      <c r="H50" s="37">
        <v>0.0</v>
      </c>
      <c r="I50" s="37">
        <v>0.0</v>
      </c>
    </row>
    <row r="51">
      <c r="A51" s="34">
        <v>45707.0</v>
      </c>
      <c r="B51" s="35" t="s">
        <v>49</v>
      </c>
      <c r="C51" s="36">
        <v>108.6</v>
      </c>
      <c r="D51" s="35" t="s">
        <v>27</v>
      </c>
      <c r="E51" s="36">
        <v>8200.0</v>
      </c>
      <c r="F51" s="35" t="s">
        <v>34</v>
      </c>
      <c r="G51" s="37">
        <v>1.0</v>
      </c>
      <c r="H51" s="37">
        <v>1.0</v>
      </c>
      <c r="I51" s="37">
        <v>1.0</v>
      </c>
    </row>
    <row r="52">
      <c r="A52" s="34">
        <v>45708.0</v>
      </c>
      <c r="B52" s="35" t="s">
        <v>50</v>
      </c>
      <c r="C52" s="36">
        <v>132.9</v>
      </c>
      <c r="D52" s="35" t="s">
        <v>24</v>
      </c>
      <c r="E52" s="36">
        <v>0.0</v>
      </c>
      <c r="F52" s="35" t="s">
        <v>25</v>
      </c>
      <c r="G52" s="37">
        <v>1.0</v>
      </c>
      <c r="H52" s="37">
        <v>0.0</v>
      </c>
      <c r="I52" s="37">
        <v>0.0</v>
      </c>
    </row>
    <row r="53">
      <c r="A53" s="34">
        <v>45709.0</v>
      </c>
      <c r="B53" s="35" t="s">
        <v>51</v>
      </c>
      <c r="C53" s="36">
        <v>124.15</v>
      </c>
      <c r="D53" s="35" t="s">
        <v>27</v>
      </c>
      <c r="E53" s="36">
        <v>0.0</v>
      </c>
      <c r="F53" s="35" t="s">
        <v>28</v>
      </c>
      <c r="G53" s="37">
        <v>1.0</v>
      </c>
      <c r="H53" s="37">
        <v>1.0</v>
      </c>
      <c r="I53" s="37">
        <v>0.0</v>
      </c>
    </row>
    <row r="54">
      <c r="A54" s="34">
        <v>45710.0</v>
      </c>
      <c r="B54" s="35" t="s">
        <v>52</v>
      </c>
      <c r="C54" s="36">
        <v>94.55</v>
      </c>
      <c r="D54" s="35" t="s">
        <v>24</v>
      </c>
      <c r="E54" s="36">
        <v>0.0</v>
      </c>
      <c r="F54" s="35" t="s">
        <v>30</v>
      </c>
      <c r="G54" s="37">
        <v>1.0</v>
      </c>
      <c r="H54" s="37">
        <v>0.0</v>
      </c>
      <c r="I54" s="37">
        <v>0.0</v>
      </c>
    </row>
    <row r="55">
      <c r="A55" s="34">
        <v>45711.0</v>
      </c>
      <c r="B55" s="35" t="s">
        <v>53</v>
      </c>
      <c r="C55" s="36">
        <v>118.35</v>
      </c>
      <c r="D55" s="35" t="s">
        <v>27</v>
      </c>
      <c r="E55" s="36">
        <v>11900.0</v>
      </c>
      <c r="F55" s="35" t="s">
        <v>32</v>
      </c>
      <c r="G55" s="37">
        <v>1.0</v>
      </c>
      <c r="H55" s="37">
        <v>1.0</v>
      </c>
      <c r="I55" s="37">
        <v>1.0</v>
      </c>
    </row>
    <row r="56">
      <c r="A56" s="34">
        <v>45712.0</v>
      </c>
      <c r="B56" s="35" t="s">
        <v>54</v>
      </c>
      <c r="C56" s="36">
        <v>104.8</v>
      </c>
      <c r="D56" s="35" t="s">
        <v>24</v>
      </c>
      <c r="E56" s="36">
        <v>0.0</v>
      </c>
      <c r="F56" s="35" t="s">
        <v>34</v>
      </c>
      <c r="G56" s="37">
        <v>1.0</v>
      </c>
      <c r="H56" s="37">
        <v>0.0</v>
      </c>
      <c r="I56" s="37">
        <v>0.0</v>
      </c>
    </row>
    <row r="57">
      <c r="A57" s="34">
        <v>45713.0</v>
      </c>
      <c r="B57" s="35" t="s">
        <v>55</v>
      </c>
      <c r="C57" s="36">
        <v>146.5</v>
      </c>
      <c r="D57" s="35" t="s">
        <v>27</v>
      </c>
      <c r="E57" s="36">
        <v>16800.0</v>
      </c>
      <c r="F57" s="35" t="s">
        <v>25</v>
      </c>
      <c r="G57" s="37">
        <v>1.0</v>
      </c>
      <c r="H57" s="37">
        <v>1.0</v>
      </c>
      <c r="I57" s="37">
        <v>1.0</v>
      </c>
    </row>
    <row r="58">
      <c r="A58" s="34">
        <v>45714.0</v>
      </c>
      <c r="B58" s="35" t="s">
        <v>56</v>
      </c>
      <c r="C58" s="36">
        <v>80.45</v>
      </c>
      <c r="D58" s="35" t="s">
        <v>24</v>
      </c>
      <c r="E58" s="36">
        <v>0.0</v>
      </c>
      <c r="F58" s="35" t="s">
        <v>28</v>
      </c>
      <c r="G58" s="37">
        <v>1.0</v>
      </c>
      <c r="H58" s="37">
        <v>0.0</v>
      </c>
      <c r="I58" s="37">
        <v>0.0</v>
      </c>
    </row>
    <row r="59">
      <c r="A59" s="34">
        <v>45715.0</v>
      </c>
      <c r="B59" s="35" t="s">
        <v>57</v>
      </c>
      <c r="C59" s="36">
        <v>112.25</v>
      </c>
      <c r="D59" s="35" t="s">
        <v>27</v>
      </c>
      <c r="E59" s="36">
        <v>0.0</v>
      </c>
      <c r="F59" s="35" t="s">
        <v>30</v>
      </c>
      <c r="G59" s="37">
        <v>1.0</v>
      </c>
      <c r="H59" s="37">
        <v>1.0</v>
      </c>
      <c r="I59" s="37">
        <v>0.0</v>
      </c>
    </row>
    <row r="60">
      <c r="A60" s="34">
        <v>45716.0</v>
      </c>
      <c r="B60" s="35" t="s">
        <v>58</v>
      </c>
      <c r="C60" s="36">
        <v>158.9</v>
      </c>
      <c r="D60" s="35" t="s">
        <v>24</v>
      </c>
      <c r="E60" s="36">
        <v>0.0</v>
      </c>
      <c r="F60" s="35" t="s">
        <v>32</v>
      </c>
      <c r="G60" s="37">
        <v>1.0</v>
      </c>
      <c r="H60" s="37">
        <v>0.0</v>
      </c>
      <c r="I60" s="37">
        <v>0.0</v>
      </c>
    </row>
    <row r="61">
      <c r="A61" s="34">
        <v>45717.0</v>
      </c>
      <c r="B61" s="35" t="s">
        <v>59</v>
      </c>
      <c r="C61" s="36">
        <v>107.65</v>
      </c>
      <c r="D61" s="35" t="s">
        <v>27</v>
      </c>
      <c r="E61" s="36">
        <v>9500.0</v>
      </c>
      <c r="F61" s="35" t="s">
        <v>34</v>
      </c>
      <c r="G61" s="37">
        <v>1.0</v>
      </c>
      <c r="H61" s="37">
        <v>1.0</v>
      </c>
      <c r="I61" s="37">
        <v>1.0</v>
      </c>
    </row>
    <row r="62">
      <c r="A62" s="34">
        <v>45718.0</v>
      </c>
      <c r="B62" s="35" t="s">
        <v>23</v>
      </c>
      <c r="C62" s="36">
        <v>121.45</v>
      </c>
      <c r="D62" s="35" t="s">
        <v>24</v>
      </c>
      <c r="E62" s="36">
        <v>0.0</v>
      </c>
      <c r="F62" s="35" t="s">
        <v>25</v>
      </c>
      <c r="G62" s="37">
        <v>1.0</v>
      </c>
      <c r="H62" s="37">
        <v>0.0</v>
      </c>
      <c r="I62" s="37">
        <v>0.0</v>
      </c>
    </row>
    <row r="63">
      <c r="A63" s="34">
        <v>45719.0</v>
      </c>
      <c r="B63" s="35" t="s">
        <v>26</v>
      </c>
      <c r="C63" s="36">
        <v>89.99</v>
      </c>
      <c r="D63" s="35" t="s">
        <v>27</v>
      </c>
      <c r="E63" s="36">
        <v>8500.0</v>
      </c>
      <c r="F63" s="35" t="s">
        <v>28</v>
      </c>
      <c r="G63" s="37">
        <v>1.0</v>
      </c>
      <c r="H63" s="37">
        <v>1.0</v>
      </c>
      <c r="I63" s="37">
        <v>1.0</v>
      </c>
    </row>
    <row r="64">
      <c r="A64" s="34">
        <v>45720.0</v>
      </c>
      <c r="B64" s="35" t="s">
        <v>29</v>
      </c>
      <c r="C64" s="36">
        <v>154.3</v>
      </c>
      <c r="D64" s="35" t="s">
        <v>24</v>
      </c>
      <c r="E64" s="36">
        <v>0.0</v>
      </c>
      <c r="F64" s="35" t="s">
        <v>30</v>
      </c>
      <c r="G64" s="37">
        <v>1.0</v>
      </c>
      <c r="H64" s="37">
        <v>0.0</v>
      </c>
      <c r="I64" s="37">
        <v>0.0</v>
      </c>
    </row>
    <row r="65">
      <c r="A65" s="34">
        <v>45721.0</v>
      </c>
      <c r="B65" s="35" t="s">
        <v>31</v>
      </c>
      <c r="C65" s="36">
        <v>110.75</v>
      </c>
      <c r="D65" s="35" t="s">
        <v>27</v>
      </c>
      <c r="E65" s="36">
        <v>12500.0</v>
      </c>
      <c r="F65" s="35" t="s">
        <v>32</v>
      </c>
      <c r="G65" s="37">
        <v>1.0</v>
      </c>
      <c r="H65" s="37">
        <v>1.0</v>
      </c>
      <c r="I65" s="37">
        <v>1.0</v>
      </c>
    </row>
    <row r="66">
      <c r="A66" s="34">
        <v>45722.0</v>
      </c>
      <c r="B66" s="35" t="s">
        <v>33</v>
      </c>
      <c r="C66" s="36">
        <v>78.6</v>
      </c>
      <c r="D66" s="35" t="s">
        <v>24</v>
      </c>
      <c r="E66" s="36">
        <v>0.0</v>
      </c>
      <c r="F66" s="35" t="s">
        <v>34</v>
      </c>
      <c r="G66" s="37">
        <v>1.0</v>
      </c>
      <c r="H66" s="37">
        <v>0.0</v>
      </c>
      <c r="I66" s="37">
        <v>0.0</v>
      </c>
    </row>
    <row r="67">
      <c r="A67" s="34">
        <v>45723.0</v>
      </c>
      <c r="B67" s="35" t="s">
        <v>35</v>
      </c>
      <c r="C67" s="36">
        <v>135.2</v>
      </c>
      <c r="D67" s="35" t="s">
        <v>27</v>
      </c>
      <c r="E67" s="36">
        <v>0.0</v>
      </c>
      <c r="F67" s="35" t="s">
        <v>28</v>
      </c>
      <c r="G67" s="37">
        <v>1.0</v>
      </c>
      <c r="H67" s="37">
        <v>1.0</v>
      </c>
      <c r="I67" s="37">
        <v>0.0</v>
      </c>
    </row>
    <row r="68">
      <c r="A68" s="34">
        <v>45724.0</v>
      </c>
      <c r="B68" s="35" t="s">
        <v>36</v>
      </c>
      <c r="C68" s="36">
        <v>96.45</v>
      </c>
      <c r="D68" s="35" t="s">
        <v>24</v>
      </c>
      <c r="E68" s="36">
        <v>0.0</v>
      </c>
      <c r="F68" s="35" t="s">
        <v>25</v>
      </c>
      <c r="G68" s="37">
        <v>1.0</v>
      </c>
      <c r="H68" s="37">
        <v>0.0</v>
      </c>
      <c r="I68" s="37">
        <v>0.0</v>
      </c>
    </row>
    <row r="69">
      <c r="A69" s="34">
        <v>45725.0</v>
      </c>
      <c r="B69" s="35" t="s">
        <v>37</v>
      </c>
      <c r="C69" s="36">
        <v>142.8</v>
      </c>
      <c r="D69" s="35" t="s">
        <v>27</v>
      </c>
      <c r="E69" s="36">
        <v>9800.0</v>
      </c>
      <c r="F69" s="35" t="s">
        <v>30</v>
      </c>
      <c r="G69" s="37">
        <v>1.0</v>
      </c>
      <c r="H69" s="37">
        <v>1.0</v>
      </c>
      <c r="I69" s="37">
        <v>1.0</v>
      </c>
    </row>
    <row r="70">
      <c r="A70" s="34">
        <v>45726.0</v>
      </c>
      <c r="B70" s="35" t="s">
        <v>38</v>
      </c>
      <c r="C70" s="36">
        <v>105.9</v>
      </c>
      <c r="D70" s="35" t="s">
        <v>24</v>
      </c>
      <c r="E70" s="36">
        <v>0.0</v>
      </c>
      <c r="F70" s="35" t="s">
        <v>32</v>
      </c>
      <c r="G70" s="37">
        <v>1.0</v>
      </c>
      <c r="H70" s="37">
        <v>0.0</v>
      </c>
      <c r="I70" s="37">
        <v>0.0</v>
      </c>
    </row>
    <row r="71">
      <c r="A71" s="34">
        <v>45727.0</v>
      </c>
      <c r="B71" s="35" t="s">
        <v>39</v>
      </c>
      <c r="C71" s="36">
        <v>82.15</v>
      </c>
      <c r="D71" s="35" t="s">
        <v>27</v>
      </c>
      <c r="E71" s="36">
        <v>15200.0</v>
      </c>
      <c r="F71" s="35" t="s">
        <v>34</v>
      </c>
      <c r="G71" s="37">
        <v>1.0</v>
      </c>
      <c r="H71" s="37">
        <v>1.0</v>
      </c>
      <c r="I71" s="37">
        <v>1.0</v>
      </c>
    </row>
    <row r="72">
      <c r="A72" s="34">
        <v>45728.0</v>
      </c>
      <c r="B72" s="35" t="s">
        <v>40</v>
      </c>
      <c r="C72" s="36">
        <v>160.55</v>
      </c>
      <c r="D72" s="35" t="s">
        <v>24</v>
      </c>
      <c r="E72" s="36">
        <v>0.0</v>
      </c>
      <c r="F72" s="35" t="s">
        <v>25</v>
      </c>
      <c r="G72" s="37">
        <v>1.0</v>
      </c>
      <c r="H72" s="37">
        <v>0.0</v>
      </c>
      <c r="I72" s="37">
        <v>0.0</v>
      </c>
    </row>
    <row r="73">
      <c r="A73" s="34">
        <v>45729.0</v>
      </c>
      <c r="B73" s="35" t="s">
        <v>41</v>
      </c>
      <c r="C73" s="36">
        <v>92.3</v>
      </c>
      <c r="D73" s="35" t="s">
        <v>27</v>
      </c>
      <c r="E73" s="36">
        <v>7600.0</v>
      </c>
      <c r="F73" s="35" t="s">
        <v>28</v>
      </c>
      <c r="G73" s="37">
        <v>1.0</v>
      </c>
      <c r="H73" s="37">
        <v>1.0</v>
      </c>
      <c r="I73" s="37">
        <v>1.0</v>
      </c>
    </row>
    <row r="74">
      <c r="A74" s="34">
        <v>45730.0</v>
      </c>
      <c r="B74" s="35" t="s">
        <v>42</v>
      </c>
      <c r="C74" s="36">
        <v>128.7</v>
      </c>
      <c r="D74" s="35" t="s">
        <v>24</v>
      </c>
      <c r="E74" s="36">
        <v>0.0</v>
      </c>
      <c r="F74" s="35" t="s">
        <v>30</v>
      </c>
      <c r="G74" s="37">
        <v>1.0</v>
      </c>
      <c r="H74" s="37">
        <v>0.0</v>
      </c>
      <c r="I74" s="37">
        <v>0.0</v>
      </c>
    </row>
    <row r="75">
      <c r="A75" s="34">
        <v>45731.0</v>
      </c>
      <c r="B75" s="35" t="s">
        <v>43</v>
      </c>
      <c r="C75" s="36">
        <v>114.65</v>
      </c>
      <c r="D75" s="35" t="s">
        <v>27</v>
      </c>
      <c r="E75" s="36">
        <v>0.0</v>
      </c>
      <c r="F75" s="35" t="s">
        <v>32</v>
      </c>
      <c r="G75" s="37">
        <v>1.0</v>
      </c>
      <c r="H75" s="37">
        <v>1.0</v>
      </c>
      <c r="I75" s="37">
        <v>0.0</v>
      </c>
    </row>
    <row r="76">
      <c r="A76" s="34">
        <v>45732.0</v>
      </c>
      <c r="B76" s="35" t="s">
        <v>44</v>
      </c>
      <c r="C76" s="36">
        <v>85.25</v>
      </c>
      <c r="D76" s="35" t="s">
        <v>24</v>
      </c>
      <c r="E76" s="36">
        <v>0.0</v>
      </c>
      <c r="F76" s="35" t="s">
        <v>34</v>
      </c>
      <c r="G76" s="37">
        <v>1.0</v>
      </c>
      <c r="H76" s="37">
        <v>0.0</v>
      </c>
      <c r="I76" s="37">
        <v>0.0</v>
      </c>
    </row>
    <row r="77">
      <c r="A77" s="34">
        <v>45733.0</v>
      </c>
      <c r="B77" s="35" t="s">
        <v>45</v>
      </c>
      <c r="C77" s="36">
        <v>139.4</v>
      </c>
      <c r="D77" s="35" t="s">
        <v>27</v>
      </c>
      <c r="E77" s="36">
        <v>10300.0</v>
      </c>
      <c r="F77" s="35" t="s">
        <v>25</v>
      </c>
      <c r="G77" s="37">
        <v>1.0</v>
      </c>
      <c r="H77" s="37">
        <v>1.0</v>
      </c>
      <c r="I77" s="37">
        <v>1.0</v>
      </c>
    </row>
    <row r="78">
      <c r="A78" s="34">
        <v>45734.0</v>
      </c>
      <c r="B78" s="35" t="s">
        <v>46</v>
      </c>
      <c r="C78" s="36">
        <v>101.85</v>
      </c>
      <c r="D78" s="35" t="s">
        <v>24</v>
      </c>
      <c r="E78" s="36">
        <v>0.0</v>
      </c>
      <c r="F78" s="35" t="s">
        <v>28</v>
      </c>
      <c r="G78" s="37">
        <v>1.0</v>
      </c>
      <c r="H78" s="37">
        <v>0.0</v>
      </c>
      <c r="I78" s="37">
        <v>0.0</v>
      </c>
    </row>
    <row r="79">
      <c r="A79" s="34">
        <v>45735.0</v>
      </c>
      <c r="B79" s="35" t="s">
        <v>47</v>
      </c>
      <c r="C79" s="36">
        <v>98.75</v>
      </c>
      <c r="D79" s="35" t="s">
        <v>27</v>
      </c>
      <c r="E79" s="36">
        <v>14500.0</v>
      </c>
      <c r="F79" s="35" t="s">
        <v>30</v>
      </c>
      <c r="G79" s="37">
        <v>1.0</v>
      </c>
      <c r="H79" s="37">
        <v>1.0</v>
      </c>
      <c r="I79" s="37">
        <v>1.0</v>
      </c>
    </row>
    <row r="80">
      <c r="A80" s="34">
        <v>45736.0</v>
      </c>
      <c r="B80" s="35" t="s">
        <v>48</v>
      </c>
      <c r="C80" s="36">
        <v>150.2</v>
      </c>
      <c r="D80" s="35" t="s">
        <v>24</v>
      </c>
      <c r="E80" s="36">
        <v>0.0</v>
      </c>
      <c r="F80" s="35" t="s">
        <v>32</v>
      </c>
      <c r="G80" s="37">
        <v>1.0</v>
      </c>
      <c r="H80" s="37">
        <v>0.0</v>
      </c>
      <c r="I80" s="37">
        <v>0.0</v>
      </c>
    </row>
    <row r="81">
      <c r="A81" s="34">
        <v>45737.0</v>
      </c>
      <c r="B81" s="35" t="s">
        <v>49</v>
      </c>
      <c r="C81" s="36">
        <v>108.6</v>
      </c>
      <c r="D81" s="35" t="s">
        <v>27</v>
      </c>
      <c r="E81" s="36">
        <v>8200.0</v>
      </c>
      <c r="F81" s="35" t="s">
        <v>34</v>
      </c>
      <c r="G81" s="37">
        <v>1.0</v>
      </c>
      <c r="H81" s="37">
        <v>1.0</v>
      </c>
      <c r="I81" s="37">
        <v>1.0</v>
      </c>
    </row>
    <row r="82">
      <c r="A82" s="34">
        <v>45738.0</v>
      </c>
      <c r="B82" s="35" t="s">
        <v>50</v>
      </c>
      <c r="C82" s="36">
        <v>132.9</v>
      </c>
      <c r="D82" s="35" t="s">
        <v>24</v>
      </c>
      <c r="E82" s="36">
        <v>0.0</v>
      </c>
      <c r="F82" s="35" t="s">
        <v>25</v>
      </c>
      <c r="G82" s="37">
        <v>1.0</v>
      </c>
      <c r="H82" s="37">
        <v>0.0</v>
      </c>
      <c r="I82" s="37">
        <v>0.0</v>
      </c>
    </row>
    <row r="83">
      <c r="A83" s="34">
        <v>45739.0</v>
      </c>
      <c r="B83" s="35" t="s">
        <v>51</v>
      </c>
      <c r="C83" s="36">
        <v>124.15</v>
      </c>
      <c r="D83" s="35" t="s">
        <v>27</v>
      </c>
      <c r="E83" s="36">
        <v>0.0</v>
      </c>
      <c r="F83" s="35" t="s">
        <v>28</v>
      </c>
      <c r="G83" s="37">
        <v>1.0</v>
      </c>
      <c r="H83" s="37">
        <v>1.0</v>
      </c>
      <c r="I83" s="37">
        <v>0.0</v>
      </c>
    </row>
    <row r="84">
      <c r="A84" s="34">
        <v>45740.0</v>
      </c>
      <c r="B84" s="35" t="s">
        <v>52</v>
      </c>
      <c r="C84" s="36">
        <v>94.55</v>
      </c>
      <c r="D84" s="35" t="s">
        <v>24</v>
      </c>
      <c r="E84" s="36">
        <v>0.0</v>
      </c>
      <c r="F84" s="35" t="s">
        <v>30</v>
      </c>
      <c r="G84" s="37">
        <v>1.0</v>
      </c>
      <c r="H84" s="37">
        <v>0.0</v>
      </c>
      <c r="I84" s="37">
        <v>0.0</v>
      </c>
    </row>
    <row r="85">
      <c r="A85" s="34">
        <v>45741.0</v>
      </c>
      <c r="B85" s="35" t="s">
        <v>53</v>
      </c>
      <c r="C85" s="36">
        <v>118.35</v>
      </c>
      <c r="D85" s="35" t="s">
        <v>27</v>
      </c>
      <c r="E85" s="36">
        <v>11900.0</v>
      </c>
      <c r="F85" s="35" t="s">
        <v>32</v>
      </c>
      <c r="G85" s="37">
        <v>1.0</v>
      </c>
      <c r="H85" s="37">
        <v>1.0</v>
      </c>
      <c r="I85" s="37">
        <v>1.0</v>
      </c>
    </row>
    <row r="86">
      <c r="A86" s="34">
        <v>45742.0</v>
      </c>
      <c r="B86" s="35" t="s">
        <v>54</v>
      </c>
      <c r="C86" s="36">
        <v>104.8</v>
      </c>
      <c r="D86" s="35" t="s">
        <v>24</v>
      </c>
      <c r="E86" s="36">
        <v>0.0</v>
      </c>
      <c r="F86" s="35" t="s">
        <v>34</v>
      </c>
      <c r="G86" s="37">
        <v>1.0</v>
      </c>
      <c r="H86" s="37">
        <v>0.0</v>
      </c>
      <c r="I86" s="37">
        <v>0.0</v>
      </c>
    </row>
    <row r="87">
      <c r="A87" s="34">
        <v>45743.0</v>
      </c>
      <c r="B87" s="35" t="s">
        <v>55</v>
      </c>
      <c r="C87" s="36">
        <v>146.5</v>
      </c>
      <c r="D87" s="35" t="s">
        <v>27</v>
      </c>
      <c r="E87" s="36">
        <v>16800.0</v>
      </c>
      <c r="F87" s="35" t="s">
        <v>25</v>
      </c>
      <c r="G87" s="37">
        <v>1.0</v>
      </c>
      <c r="H87" s="37">
        <v>1.0</v>
      </c>
      <c r="I87" s="37">
        <v>1.0</v>
      </c>
    </row>
    <row r="88">
      <c r="A88" s="34">
        <v>45744.0</v>
      </c>
      <c r="B88" s="35" t="s">
        <v>56</v>
      </c>
      <c r="C88" s="36">
        <v>80.45</v>
      </c>
      <c r="D88" s="35" t="s">
        <v>24</v>
      </c>
      <c r="E88" s="36">
        <v>0.0</v>
      </c>
      <c r="F88" s="35" t="s">
        <v>28</v>
      </c>
      <c r="G88" s="37">
        <v>1.0</v>
      </c>
      <c r="H88" s="37">
        <v>0.0</v>
      </c>
      <c r="I88" s="37">
        <v>0.0</v>
      </c>
    </row>
    <row r="89">
      <c r="A89" s="34">
        <v>45745.0</v>
      </c>
      <c r="B89" s="35" t="s">
        <v>57</v>
      </c>
      <c r="C89" s="36">
        <v>112.25</v>
      </c>
      <c r="D89" s="35" t="s">
        <v>27</v>
      </c>
      <c r="E89" s="36">
        <v>0.0</v>
      </c>
      <c r="F89" s="35" t="s">
        <v>30</v>
      </c>
      <c r="G89" s="37">
        <v>1.0</v>
      </c>
      <c r="H89" s="37">
        <v>1.0</v>
      </c>
      <c r="I89" s="37">
        <v>0.0</v>
      </c>
    </row>
    <row r="90">
      <c r="A90" s="34">
        <v>45746.0</v>
      </c>
      <c r="B90" s="35" t="s">
        <v>58</v>
      </c>
      <c r="C90" s="36">
        <v>158.9</v>
      </c>
      <c r="D90" s="35" t="s">
        <v>24</v>
      </c>
      <c r="E90" s="36">
        <v>0.0</v>
      </c>
      <c r="F90" s="35" t="s">
        <v>32</v>
      </c>
      <c r="G90" s="37">
        <v>1.0</v>
      </c>
      <c r="H90" s="37">
        <v>0.0</v>
      </c>
      <c r="I90" s="37">
        <v>0.0</v>
      </c>
    </row>
    <row r="91">
      <c r="A91" s="34">
        <v>45747.0</v>
      </c>
      <c r="B91" s="35" t="s">
        <v>59</v>
      </c>
      <c r="C91" s="36">
        <v>107.65</v>
      </c>
      <c r="D91" s="35" t="s">
        <v>27</v>
      </c>
      <c r="E91" s="36">
        <v>9500.0</v>
      </c>
      <c r="F91" s="35" t="s">
        <v>34</v>
      </c>
      <c r="G91" s="37">
        <v>1.0</v>
      </c>
      <c r="H91" s="37">
        <v>1.0</v>
      </c>
      <c r="I91" s="37">
        <v>1.0</v>
      </c>
    </row>
    <row r="92">
      <c r="A92" s="34">
        <v>45748.0</v>
      </c>
      <c r="B92" s="35" t="s">
        <v>23</v>
      </c>
      <c r="C92" s="36">
        <v>121.45</v>
      </c>
      <c r="D92" s="35" t="s">
        <v>24</v>
      </c>
      <c r="E92" s="36">
        <v>0.0</v>
      </c>
      <c r="F92" s="35" t="s">
        <v>25</v>
      </c>
      <c r="G92" s="37">
        <v>1.0</v>
      </c>
      <c r="H92" s="37">
        <v>0.0</v>
      </c>
      <c r="I92" s="37">
        <v>0.0</v>
      </c>
    </row>
    <row r="93">
      <c r="A93" s="34">
        <v>45749.0</v>
      </c>
      <c r="B93" s="35" t="s">
        <v>26</v>
      </c>
      <c r="C93" s="36">
        <v>89.99</v>
      </c>
      <c r="D93" s="35" t="s">
        <v>27</v>
      </c>
      <c r="E93" s="36">
        <v>8500.0</v>
      </c>
      <c r="F93" s="35" t="s">
        <v>28</v>
      </c>
      <c r="G93" s="37">
        <v>1.0</v>
      </c>
      <c r="H93" s="37">
        <v>1.0</v>
      </c>
      <c r="I93" s="37">
        <v>1.0</v>
      </c>
    </row>
    <row r="94">
      <c r="A94" s="34">
        <v>45750.0</v>
      </c>
      <c r="B94" s="35" t="s">
        <v>29</v>
      </c>
      <c r="C94" s="36">
        <v>154.3</v>
      </c>
      <c r="D94" s="35" t="s">
        <v>24</v>
      </c>
      <c r="E94" s="36">
        <v>0.0</v>
      </c>
      <c r="F94" s="35" t="s">
        <v>30</v>
      </c>
      <c r="G94" s="37">
        <v>1.0</v>
      </c>
      <c r="H94" s="37">
        <v>0.0</v>
      </c>
      <c r="I94" s="37">
        <v>0.0</v>
      </c>
    </row>
    <row r="95">
      <c r="A95" s="34">
        <v>45751.0</v>
      </c>
      <c r="B95" s="35" t="s">
        <v>31</v>
      </c>
      <c r="C95" s="36">
        <v>110.75</v>
      </c>
      <c r="D95" s="35" t="s">
        <v>27</v>
      </c>
      <c r="E95" s="36">
        <v>12500.0</v>
      </c>
      <c r="F95" s="35" t="s">
        <v>32</v>
      </c>
      <c r="G95" s="37">
        <v>1.0</v>
      </c>
      <c r="H95" s="37">
        <v>1.0</v>
      </c>
      <c r="I95" s="37">
        <v>1.0</v>
      </c>
    </row>
    <row r="96">
      <c r="A96" s="34">
        <v>45752.0</v>
      </c>
      <c r="B96" s="35" t="s">
        <v>33</v>
      </c>
      <c r="C96" s="36">
        <v>78.6</v>
      </c>
      <c r="D96" s="35" t="s">
        <v>24</v>
      </c>
      <c r="E96" s="36">
        <v>0.0</v>
      </c>
      <c r="F96" s="35" t="s">
        <v>34</v>
      </c>
      <c r="G96" s="37">
        <v>1.0</v>
      </c>
      <c r="H96" s="37">
        <v>0.0</v>
      </c>
      <c r="I96" s="37">
        <v>0.0</v>
      </c>
    </row>
    <row r="97">
      <c r="A97" s="34">
        <v>45753.0</v>
      </c>
      <c r="B97" s="35" t="s">
        <v>35</v>
      </c>
      <c r="C97" s="36">
        <v>135.2</v>
      </c>
      <c r="D97" s="35" t="s">
        <v>27</v>
      </c>
      <c r="E97" s="36">
        <v>0.0</v>
      </c>
      <c r="F97" s="35" t="s">
        <v>28</v>
      </c>
      <c r="G97" s="37">
        <v>1.0</v>
      </c>
      <c r="H97" s="37">
        <v>1.0</v>
      </c>
      <c r="I97" s="37">
        <v>0.0</v>
      </c>
    </row>
    <row r="98">
      <c r="A98" s="34">
        <v>45754.0</v>
      </c>
      <c r="B98" s="35" t="s">
        <v>36</v>
      </c>
      <c r="C98" s="36">
        <v>96.45</v>
      </c>
      <c r="D98" s="35" t="s">
        <v>24</v>
      </c>
      <c r="E98" s="36">
        <v>0.0</v>
      </c>
      <c r="F98" s="35" t="s">
        <v>25</v>
      </c>
      <c r="G98" s="37">
        <v>1.0</v>
      </c>
      <c r="H98" s="37">
        <v>0.0</v>
      </c>
      <c r="I98" s="37">
        <v>0.0</v>
      </c>
    </row>
    <row r="99">
      <c r="A99" s="34">
        <v>45755.0</v>
      </c>
      <c r="B99" s="35" t="s">
        <v>37</v>
      </c>
      <c r="C99" s="36">
        <v>142.8</v>
      </c>
      <c r="D99" s="35" t="s">
        <v>27</v>
      </c>
      <c r="E99" s="36">
        <v>9800.0</v>
      </c>
      <c r="F99" s="35" t="s">
        <v>30</v>
      </c>
      <c r="G99" s="37">
        <v>1.0</v>
      </c>
      <c r="H99" s="37">
        <v>1.0</v>
      </c>
      <c r="I99" s="37">
        <v>1.0</v>
      </c>
    </row>
    <row r="100">
      <c r="A100" s="34">
        <v>45756.0</v>
      </c>
      <c r="B100" s="35" t="s">
        <v>38</v>
      </c>
      <c r="C100" s="36">
        <v>105.9</v>
      </c>
      <c r="D100" s="35" t="s">
        <v>24</v>
      </c>
      <c r="E100" s="36">
        <v>0.0</v>
      </c>
      <c r="F100" s="35" t="s">
        <v>32</v>
      </c>
      <c r="G100" s="37">
        <v>1.0</v>
      </c>
      <c r="H100" s="37">
        <v>0.0</v>
      </c>
      <c r="I100" s="37">
        <v>0.0</v>
      </c>
    </row>
    <row r="101">
      <c r="A101" s="34">
        <v>45757.0</v>
      </c>
      <c r="B101" s="35" t="s">
        <v>39</v>
      </c>
      <c r="C101" s="36">
        <v>82.15</v>
      </c>
      <c r="D101" s="35" t="s">
        <v>27</v>
      </c>
      <c r="E101" s="36">
        <v>15200.0</v>
      </c>
      <c r="F101" s="35" t="s">
        <v>34</v>
      </c>
      <c r="G101" s="37">
        <v>1.0</v>
      </c>
      <c r="H101" s="37">
        <v>1.0</v>
      </c>
      <c r="I101" s="37">
        <v>1.0</v>
      </c>
    </row>
    <row r="102">
      <c r="A102" s="34">
        <v>45758.0</v>
      </c>
      <c r="B102" s="35" t="s">
        <v>40</v>
      </c>
      <c r="C102" s="36">
        <v>160.55</v>
      </c>
      <c r="D102" s="35" t="s">
        <v>24</v>
      </c>
      <c r="E102" s="36">
        <v>0.0</v>
      </c>
      <c r="F102" s="35" t="s">
        <v>25</v>
      </c>
      <c r="G102" s="37">
        <v>1.0</v>
      </c>
      <c r="H102" s="37">
        <v>0.0</v>
      </c>
      <c r="I102" s="37">
        <v>0.0</v>
      </c>
    </row>
    <row r="103">
      <c r="A103" s="34">
        <v>45759.0</v>
      </c>
      <c r="B103" s="35" t="s">
        <v>41</v>
      </c>
      <c r="C103" s="36">
        <v>92.3</v>
      </c>
      <c r="D103" s="35" t="s">
        <v>27</v>
      </c>
      <c r="E103" s="36">
        <v>7600.0</v>
      </c>
      <c r="F103" s="35" t="s">
        <v>28</v>
      </c>
      <c r="G103" s="37">
        <v>1.0</v>
      </c>
      <c r="H103" s="37">
        <v>1.0</v>
      </c>
      <c r="I103" s="37">
        <v>1.0</v>
      </c>
    </row>
    <row r="104">
      <c r="A104" s="34">
        <v>45760.0</v>
      </c>
      <c r="B104" s="35" t="s">
        <v>42</v>
      </c>
      <c r="C104" s="36">
        <v>128.7</v>
      </c>
      <c r="D104" s="35" t="s">
        <v>24</v>
      </c>
      <c r="E104" s="36">
        <v>0.0</v>
      </c>
      <c r="F104" s="35" t="s">
        <v>30</v>
      </c>
      <c r="G104" s="37">
        <v>1.0</v>
      </c>
      <c r="H104" s="37">
        <v>0.0</v>
      </c>
      <c r="I104" s="37">
        <v>0.0</v>
      </c>
    </row>
    <row r="105">
      <c r="A105" s="34">
        <v>45761.0</v>
      </c>
      <c r="B105" s="35" t="s">
        <v>43</v>
      </c>
      <c r="C105" s="36">
        <v>114.65</v>
      </c>
      <c r="D105" s="35" t="s">
        <v>27</v>
      </c>
      <c r="E105" s="36">
        <v>0.0</v>
      </c>
      <c r="F105" s="35" t="s">
        <v>32</v>
      </c>
      <c r="G105" s="37">
        <v>1.0</v>
      </c>
      <c r="H105" s="37">
        <v>1.0</v>
      </c>
      <c r="I105" s="37">
        <v>0.0</v>
      </c>
    </row>
    <row r="106">
      <c r="A106" s="34">
        <v>45762.0</v>
      </c>
      <c r="B106" s="35" t="s">
        <v>44</v>
      </c>
      <c r="C106" s="36">
        <v>85.25</v>
      </c>
      <c r="D106" s="35" t="s">
        <v>24</v>
      </c>
      <c r="E106" s="36">
        <v>0.0</v>
      </c>
      <c r="F106" s="35" t="s">
        <v>34</v>
      </c>
      <c r="G106" s="37">
        <v>1.0</v>
      </c>
      <c r="H106" s="37">
        <v>0.0</v>
      </c>
      <c r="I106" s="37">
        <v>0.0</v>
      </c>
    </row>
    <row r="107">
      <c r="A107" s="34">
        <v>45763.0</v>
      </c>
      <c r="B107" s="35" t="s">
        <v>45</v>
      </c>
      <c r="C107" s="36">
        <v>139.4</v>
      </c>
      <c r="D107" s="35" t="s">
        <v>27</v>
      </c>
      <c r="E107" s="36">
        <v>10300.0</v>
      </c>
      <c r="F107" s="35" t="s">
        <v>25</v>
      </c>
      <c r="G107" s="37">
        <v>1.0</v>
      </c>
      <c r="H107" s="37">
        <v>1.0</v>
      </c>
      <c r="I107" s="37">
        <v>1.0</v>
      </c>
    </row>
    <row r="108">
      <c r="A108" s="34">
        <v>45764.0</v>
      </c>
      <c r="B108" s="35" t="s">
        <v>46</v>
      </c>
      <c r="C108" s="36">
        <v>101.85</v>
      </c>
      <c r="D108" s="35" t="s">
        <v>24</v>
      </c>
      <c r="E108" s="36">
        <v>0.0</v>
      </c>
      <c r="F108" s="35" t="s">
        <v>28</v>
      </c>
      <c r="G108" s="37">
        <v>1.0</v>
      </c>
      <c r="H108" s="37">
        <v>0.0</v>
      </c>
      <c r="I108" s="37">
        <v>0.0</v>
      </c>
    </row>
    <row r="109">
      <c r="A109" s="34">
        <v>45765.0</v>
      </c>
      <c r="B109" s="35" t="s">
        <v>47</v>
      </c>
      <c r="C109" s="36">
        <v>98.75</v>
      </c>
      <c r="D109" s="35" t="s">
        <v>27</v>
      </c>
      <c r="E109" s="36">
        <v>14500.0</v>
      </c>
      <c r="F109" s="35" t="s">
        <v>30</v>
      </c>
      <c r="G109" s="37">
        <v>1.0</v>
      </c>
      <c r="H109" s="37">
        <v>1.0</v>
      </c>
      <c r="I109" s="37">
        <v>1.0</v>
      </c>
    </row>
    <row r="110">
      <c r="A110" s="34">
        <v>45766.0</v>
      </c>
      <c r="B110" s="35" t="s">
        <v>48</v>
      </c>
      <c r="C110" s="36">
        <v>150.2</v>
      </c>
      <c r="D110" s="35" t="s">
        <v>24</v>
      </c>
      <c r="E110" s="36">
        <v>0.0</v>
      </c>
      <c r="F110" s="35" t="s">
        <v>32</v>
      </c>
      <c r="G110" s="37">
        <v>1.0</v>
      </c>
      <c r="H110" s="37">
        <v>0.0</v>
      </c>
      <c r="I110" s="37">
        <v>0.0</v>
      </c>
    </row>
    <row r="111">
      <c r="A111" s="34">
        <v>45767.0</v>
      </c>
      <c r="B111" s="35" t="s">
        <v>49</v>
      </c>
      <c r="C111" s="36">
        <v>108.6</v>
      </c>
      <c r="D111" s="35" t="s">
        <v>27</v>
      </c>
      <c r="E111" s="36">
        <v>8200.0</v>
      </c>
      <c r="F111" s="35" t="s">
        <v>34</v>
      </c>
      <c r="G111" s="37">
        <v>1.0</v>
      </c>
      <c r="H111" s="37">
        <v>1.0</v>
      </c>
      <c r="I111" s="37">
        <v>1.0</v>
      </c>
    </row>
    <row r="112">
      <c r="A112" s="34">
        <v>45768.0</v>
      </c>
      <c r="B112" s="35" t="s">
        <v>50</v>
      </c>
      <c r="C112" s="36">
        <v>132.9</v>
      </c>
      <c r="D112" s="35" t="s">
        <v>24</v>
      </c>
      <c r="E112" s="36">
        <v>0.0</v>
      </c>
      <c r="F112" s="35" t="s">
        <v>25</v>
      </c>
      <c r="G112" s="37">
        <v>1.0</v>
      </c>
      <c r="H112" s="37">
        <v>0.0</v>
      </c>
      <c r="I112" s="37">
        <v>0.0</v>
      </c>
    </row>
    <row r="113">
      <c r="A113" s="34">
        <v>45769.0</v>
      </c>
      <c r="B113" s="35" t="s">
        <v>51</v>
      </c>
      <c r="C113" s="36">
        <v>124.15</v>
      </c>
      <c r="D113" s="35" t="s">
        <v>27</v>
      </c>
      <c r="E113" s="36">
        <v>0.0</v>
      </c>
      <c r="F113" s="35" t="s">
        <v>28</v>
      </c>
      <c r="G113" s="37">
        <v>1.0</v>
      </c>
      <c r="H113" s="37">
        <v>1.0</v>
      </c>
      <c r="I113" s="37">
        <v>0.0</v>
      </c>
    </row>
    <row r="114">
      <c r="A114" s="34">
        <v>45770.0</v>
      </c>
      <c r="B114" s="35" t="s">
        <v>52</v>
      </c>
      <c r="C114" s="36">
        <v>94.55</v>
      </c>
      <c r="D114" s="35" t="s">
        <v>24</v>
      </c>
      <c r="E114" s="36">
        <v>0.0</v>
      </c>
      <c r="F114" s="35" t="s">
        <v>30</v>
      </c>
      <c r="G114" s="37">
        <v>1.0</v>
      </c>
      <c r="H114" s="37">
        <v>0.0</v>
      </c>
      <c r="I114" s="37">
        <v>0.0</v>
      </c>
    </row>
    <row r="115">
      <c r="A115" s="34">
        <v>45771.0</v>
      </c>
      <c r="B115" s="35" t="s">
        <v>53</v>
      </c>
      <c r="C115" s="36">
        <v>118.35</v>
      </c>
      <c r="D115" s="35" t="s">
        <v>27</v>
      </c>
      <c r="E115" s="36">
        <v>11900.0</v>
      </c>
      <c r="F115" s="35" t="s">
        <v>32</v>
      </c>
      <c r="G115" s="37">
        <v>1.0</v>
      </c>
      <c r="H115" s="37">
        <v>1.0</v>
      </c>
      <c r="I115" s="37">
        <v>1.0</v>
      </c>
    </row>
    <row r="116">
      <c r="A116" s="34">
        <v>45772.0</v>
      </c>
      <c r="B116" s="35" t="s">
        <v>54</v>
      </c>
      <c r="C116" s="36">
        <v>104.8</v>
      </c>
      <c r="D116" s="35" t="s">
        <v>24</v>
      </c>
      <c r="E116" s="36">
        <v>0.0</v>
      </c>
      <c r="F116" s="35" t="s">
        <v>34</v>
      </c>
      <c r="G116" s="37">
        <v>1.0</v>
      </c>
      <c r="H116" s="37">
        <v>0.0</v>
      </c>
      <c r="I116" s="37">
        <v>0.0</v>
      </c>
    </row>
    <row r="117">
      <c r="A117" s="34">
        <v>45773.0</v>
      </c>
      <c r="B117" s="35" t="s">
        <v>55</v>
      </c>
      <c r="C117" s="36">
        <v>146.5</v>
      </c>
      <c r="D117" s="35" t="s">
        <v>27</v>
      </c>
      <c r="E117" s="36">
        <v>16800.0</v>
      </c>
      <c r="F117" s="35" t="s">
        <v>25</v>
      </c>
      <c r="G117" s="37">
        <v>1.0</v>
      </c>
      <c r="H117" s="37">
        <v>1.0</v>
      </c>
      <c r="I117" s="37">
        <v>1.0</v>
      </c>
    </row>
    <row r="118">
      <c r="A118" s="34">
        <v>45774.0</v>
      </c>
      <c r="B118" s="35" t="s">
        <v>56</v>
      </c>
      <c r="C118" s="36">
        <v>80.45</v>
      </c>
      <c r="D118" s="35" t="s">
        <v>24</v>
      </c>
      <c r="E118" s="36">
        <v>0.0</v>
      </c>
      <c r="F118" s="35" t="s">
        <v>28</v>
      </c>
      <c r="G118" s="37">
        <v>1.0</v>
      </c>
      <c r="H118" s="37">
        <v>0.0</v>
      </c>
      <c r="I118" s="37">
        <v>0.0</v>
      </c>
    </row>
    <row r="119">
      <c r="A119" s="34">
        <v>45775.0</v>
      </c>
      <c r="B119" s="35" t="s">
        <v>57</v>
      </c>
      <c r="C119" s="36">
        <v>112.25</v>
      </c>
      <c r="D119" s="35" t="s">
        <v>27</v>
      </c>
      <c r="E119" s="36">
        <v>0.0</v>
      </c>
      <c r="F119" s="35" t="s">
        <v>30</v>
      </c>
      <c r="G119" s="37">
        <v>1.0</v>
      </c>
      <c r="H119" s="37">
        <v>1.0</v>
      </c>
      <c r="I119" s="37">
        <v>0.0</v>
      </c>
    </row>
    <row r="120">
      <c r="A120" s="34">
        <v>45776.0</v>
      </c>
      <c r="B120" s="35" t="s">
        <v>58</v>
      </c>
      <c r="C120" s="36">
        <v>158.9</v>
      </c>
      <c r="D120" s="35" t="s">
        <v>24</v>
      </c>
      <c r="E120" s="36">
        <v>0.0</v>
      </c>
      <c r="F120" s="35" t="s">
        <v>32</v>
      </c>
      <c r="G120" s="37">
        <v>1.0</v>
      </c>
      <c r="H120" s="37">
        <v>0.0</v>
      </c>
      <c r="I120" s="37">
        <v>0.0</v>
      </c>
    </row>
    <row r="121">
      <c r="A121" s="34">
        <v>45777.0</v>
      </c>
      <c r="B121" s="35" t="s">
        <v>59</v>
      </c>
      <c r="C121" s="36">
        <v>107.65</v>
      </c>
      <c r="D121" s="35" t="s">
        <v>27</v>
      </c>
      <c r="E121" s="36">
        <v>9500.0</v>
      </c>
      <c r="F121" s="35" t="s">
        <v>34</v>
      </c>
      <c r="G121" s="37">
        <v>1.0</v>
      </c>
      <c r="H121" s="37">
        <v>1.0</v>
      </c>
      <c r="I121" s="37">
        <v>1.0</v>
      </c>
    </row>
    <row r="122">
      <c r="A122" s="34">
        <v>45778.0</v>
      </c>
      <c r="B122" s="35" t="s">
        <v>23</v>
      </c>
      <c r="C122" s="36">
        <v>121.45</v>
      </c>
      <c r="D122" s="35" t="s">
        <v>24</v>
      </c>
      <c r="E122" s="36">
        <v>0.0</v>
      </c>
      <c r="F122" s="35" t="s">
        <v>25</v>
      </c>
      <c r="G122" s="37">
        <v>1.0</v>
      </c>
      <c r="H122" s="37">
        <v>0.0</v>
      </c>
      <c r="I122" s="37">
        <v>0.0</v>
      </c>
    </row>
    <row r="123">
      <c r="A123" s="34">
        <v>45779.0</v>
      </c>
      <c r="B123" s="35" t="s">
        <v>26</v>
      </c>
      <c r="C123" s="36">
        <v>89.99</v>
      </c>
      <c r="D123" s="35" t="s">
        <v>27</v>
      </c>
      <c r="E123" s="36">
        <v>8500.0</v>
      </c>
      <c r="F123" s="35" t="s">
        <v>28</v>
      </c>
      <c r="G123" s="37">
        <v>1.0</v>
      </c>
      <c r="H123" s="37">
        <v>1.0</v>
      </c>
      <c r="I123" s="37">
        <v>1.0</v>
      </c>
    </row>
    <row r="124">
      <c r="A124" s="34">
        <v>45780.0</v>
      </c>
      <c r="B124" s="35" t="s">
        <v>29</v>
      </c>
      <c r="C124" s="36">
        <v>154.3</v>
      </c>
      <c r="D124" s="35" t="s">
        <v>24</v>
      </c>
      <c r="E124" s="36">
        <v>0.0</v>
      </c>
      <c r="F124" s="35" t="s">
        <v>30</v>
      </c>
      <c r="G124" s="37">
        <v>1.0</v>
      </c>
      <c r="H124" s="37">
        <v>0.0</v>
      </c>
      <c r="I124" s="37">
        <v>0.0</v>
      </c>
    </row>
    <row r="125">
      <c r="A125" s="34">
        <v>45781.0</v>
      </c>
      <c r="B125" s="35" t="s">
        <v>31</v>
      </c>
      <c r="C125" s="36">
        <v>110.75</v>
      </c>
      <c r="D125" s="35" t="s">
        <v>27</v>
      </c>
      <c r="E125" s="36">
        <v>12500.0</v>
      </c>
      <c r="F125" s="35" t="s">
        <v>32</v>
      </c>
      <c r="G125" s="37">
        <v>1.0</v>
      </c>
      <c r="H125" s="37">
        <v>1.0</v>
      </c>
      <c r="I125" s="37">
        <v>1.0</v>
      </c>
    </row>
    <row r="126">
      <c r="A126" s="34">
        <v>45782.0</v>
      </c>
      <c r="B126" s="35" t="s">
        <v>33</v>
      </c>
      <c r="C126" s="36">
        <v>78.6</v>
      </c>
      <c r="D126" s="35" t="s">
        <v>24</v>
      </c>
      <c r="E126" s="36">
        <v>0.0</v>
      </c>
      <c r="F126" s="35" t="s">
        <v>34</v>
      </c>
      <c r="G126" s="37">
        <v>1.0</v>
      </c>
      <c r="H126" s="37">
        <v>0.0</v>
      </c>
      <c r="I126" s="37">
        <v>0.0</v>
      </c>
    </row>
    <row r="127">
      <c r="A127" s="34">
        <v>45783.0</v>
      </c>
      <c r="B127" s="35" t="s">
        <v>35</v>
      </c>
      <c r="C127" s="36">
        <v>135.2</v>
      </c>
      <c r="D127" s="35" t="s">
        <v>27</v>
      </c>
      <c r="E127" s="36">
        <v>0.0</v>
      </c>
      <c r="F127" s="35" t="s">
        <v>28</v>
      </c>
      <c r="G127" s="37">
        <v>1.0</v>
      </c>
      <c r="H127" s="37">
        <v>1.0</v>
      </c>
      <c r="I127" s="37">
        <v>0.0</v>
      </c>
    </row>
    <row r="128">
      <c r="A128" s="34">
        <v>45784.0</v>
      </c>
      <c r="B128" s="35" t="s">
        <v>36</v>
      </c>
      <c r="C128" s="36">
        <v>96.45</v>
      </c>
      <c r="D128" s="35" t="s">
        <v>24</v>
      </c>
      <c r="E128" s="36">
        <v>0.0</v>
      </c>
      <c r="F128" s="35" t="s">
        <v>25</v>
      </c>
      <c r="G128" s="37">
        <v>1.0</v>
      </c>
      <c r="H128" s="37">
        <v>0.0</v>
      </c>
      <c r="I128" s="37">
        <v>0.0</v>
      </c>
    </row>
    <row r="129">
      <c r="A129" s="34">
        <v>45785.0</v>
      </c>
      <c r="B129" s="35" t="s">
        <v>37</v>
      </c>
      <c r="C129" s="36">
        <v>142.8</v>
      </c>
      <c r="D129" s="35" t="s">
        <v>27</v>
      </c>
      <c r="E129" s="36">
        <v>9800.0</v>
      </c>
      <c r="F129" s="35" t="s">
        <v>30</v>
      </c>
      <c r="G129" s="37">
        <v>1.0</v>
      </c>
      <c r="H129" s="37">
        <v>1.0</v>
      </c>
      <c r="I129" s="37">
        <v>1.0</v>
      </c>
    </row>
    <row r="130">
      <c r="A130" s="34">
        <v>45786.0</v>
      </c>
      <c r="B130" s="35" t="s">
        <v>38</v>
      </c>
      <c r="C130" s="36">
        <v>105.9</v>
      </c>
      <c r="D130" s="35" t="s">
        <v>24</v>
      </c>
      <c r="E130" s="36">
        <v>0.0</v>
      </c>
      <c r="F130" s="35" t="s">
        <v>32</v>
      </c>
      <c r="G130" s="37">
        <v>1.0</v>
      </c>
      <c r="H130" s="37">
        <v>0.0</v>
      </c>
      <c r="I130" s="37">
        <v>0.0</v>
      </c>
    </row>
    <row r="131">
      <c r="A131" s="34">
        <v>45787.0</v>
      </c>
      <c r="B131" s="35" t="s">
        <v>39</v>
      </c>
      <c r="C131" s="36">
        <v>82.15</v>
      </c>
      <c r="D131" s="35" t="s">
        <v>27</v>
      </c>
      <c r="E131" s="36">
        <v>15200.0</v>
      </c>
      <c r="F131" s="35" t="s">
        <v>34</v>
      </c>
      <c r="G131" s="37">
        <v>1.0</v>
      </c>
      <c r="H131" s="37">
        <v>1.0</v>
      </c>
      <c r="I131" s="37">
        <v>1.0</v>
      </c>
    </row>
    <row r="132">
      <c r="A132" s="34">
        <v>45788.0</v>
      </c>
      <c r="B132" s="35" t="s">
        <v>40</v>
      </c>
      <c r="C132" s="36">
        <v>160.55</v>
      </c>
      <c r="D132" s="35" t="s">
        <v>24</v>
      </c>
      <c r="E132" s="36">
        <v>0.0</v>
      </c>
      <c r="F132" s="35" t="s">
        <v>25</v>
      </c>
      <c r="G132" s="37">
        <v>1.0</v>
      </c>
      <c r="H132" s="37">
        <v>0.0</v>
      </c>
      <c r="I132" s="37">
        <v>0.0</v>
      </c>
    </row>
    <row r="133">
      <c r="A133" s="34">
        <v>45789.0</v>
      </c>
      <c r="B133" s="35" t="s">
        <v>41</v>
      </c>
      <c r="C133" s="36">
        <v>92.3</v>
      </c>
      <c r="D133" s="35" t="s">
        <v>27</v>
      </c>
      <c r="E133" s="36">
        <v>7600.0</v>
      </c>
      <c r="F133" s="35" t="s">
        <v>28</v>
      </c>
      <c r="G133" s="37">
        <v>1.0</v>
      </c>
      <c r="H133" s="37">
        <v>1.0</v>
      </c>
      <c r="I133" s="37">
        <v>1.0</v>
      </c>
    </row>
    <row r="134">
      <c r="A134" s="34">
        <v>45790.0</v>
      </c>
      <c r="B134" s="35" t="s">
        <v>42</v>
      </c>
      <c r="C134" s="36">
        <v>128.7</v>
      </c>
      <c r="D134" s="35" t="s">
        <v>24</v>
      </c>
      <c r="E134" s="36">
        <v>0.0</v>
      </c>
      <c r="F134" s="35" t="s">
        <v>30</v>
      </c>
      <c r="G134" s="37">
        <v>1.0</v>
      </c>
      <c r="H134" s="37">
        <v>0.0</v>
      </c>
      <c r="I134" s="37">
        <v>0.0</v>
      </c>
    </row>
    <row r="135">
      <c r="A135" s="34">
        <v>45791.0</v>
      </c>
      <c r="B135" s="35" t="s">
        <v>43</v>
      </c>
      <c r="C135" s="36">
        <v>114.65</v>
      </c>
      <c r="D135" s="35" t="s">
        <v>27</v>
      </c>
      <c r="E135" s="36">
        <v>0.0</v>
      </c>
      <c r="F135" s="35" t="s">
        <v>32</v>
      </c>
      <c r="G135" s="37">
        <v>1.0</v>
      </c>
      <c r="H135" s="37">
        <v>1.0</v>
      </c>
      <c r="I135" s="37">
        <v>0.0</v>
      </c>
    </row>
    <row r="136">
      <c r="A136" s="34">
        <v>45792.0</v>
      </c>
      <c r="B136" s="35" t="s">
        <v>44</v>
      </c>
      <c r="C136" s="36">
        <v>85.25</v>
      </c>
      <c r="D136" s="35" t="s">
        <v>24</v>
      </c>
      <c r="E136" s="36">
        <v>0.0</v>
      </c>
      <c r="F136" s="35" t="s">
        <v>34</v>
      </c>
      <c r="G136" s="37">
        <v>1.0</v>
      </c>
      <c r="H136" s="37">
        <v>0.0</v>
      </c>
      <c r="I136" s="37">
        <v>0.0</v>
      </c>
    </row>
    <row r="137">
      <c r="A137" s="34">
        <v>45793.0</v>
      </c>
      <c r="B137" s="35" t="s">
        <v>45</v>
      </c>
      <c r="C137" s="36">
        <v>139.4</v>
      </c>
      <c r="D137" s="35" t="s">
        <v>27</v>
      </c>
      <c r="E137" s="36">
        <v>10300.0</v>
      </c>
      <c r="F137" s="35" t="s">
        <v>25</v>
      </c>
      <c r="G137" s="37">
        <v>1.0</v>
      </c>
      <c r="H137" s="37">
        <v>1.0</v>
      </c>
      <c r="I137" s="37">
        <v>1.0</v>
      </c>
    </row>
    <row r="138">
      <c r="A138" s="34">
        <v>45794.0</v>
      </c>
      <c r="B138" s="35" t="s">
        <v>46</v>
      </c>
      <c r="C138" s="36">
        <v>101.85</v>
      </c>
      <c r="D138" s="35" t="s">
        <v>24</v>
      </c>
      <c r="E138" s="36">
        <v>0.0</v>
      </c>
      <c r="F138" s="35" t="s">
        <v>28</v>
      </c>
      <c r="G138" s="37">
        <v>1.0</v>
      </c>
      <c r="H138" s="37">
        <v>0.0</v>
      </c>
      <c r="I138" s="37">
        <v>0.0</v>
      </c>
    </row>
    <row r="139">
      <c r="A139" s="34">
        <v>45795.0</v>
      </c>
      <c r="B139" s="35" t="s">
        <v>47</v>
      </c>
      <c r="C139" s="36">
        <v>98.75</v>
      </c>
      <c r="D139" s="35" t="s">
        <v>27</v>
      </c>
      <c r="E139" s="36">
        <v>14500.0</v>
      </c>
      <c r="F139" s="35" t="s">
        <v>30</v>
      </c>
      <c r="G139" s="37">
        <v>1.0</v>
      </c>
      <c r="H139" s="37">
        <v>1.0</v>
      </c>
      <c r="I139" s="37">
        <v>1.0</v>
      </c>
    </row>
    <row r="140">
      <c r="A140" s="34">
        <v>45796.0</v>
      </c>
      <c r="B140" s="35" t="s">
        <v>48</v>
      </c>
      <c r="C140" s="36">
        <v>150.2</v>
      </c>
      <c r="D140" s="35" t="s">
        <v>24</v>
      </c>
      <c r="E140" s="36">
        <v>0.0</v>
      </c>
      <c r="F140" s="35" t="s">
        <v>32</v>
      </c>
      <c r="G140" s="37">
        <v>1.0</v>
      </c>
      <c r="H140" s="37">
        <v>0.0</v>
      </c>
      <c r="I140" s="37">
        <v>0.0</v>
      </c>
    </row>
    <row r="141">
      <c r="A141" s="34">
        <v>45797.0</v>
      </c>
      <c r="B141" s="35" t="s">
        <v>49</v>
      </c>
      <c r="C141" s="36">
        <v>108.6</v>
      </c>
      <c r="D141" s="35" t="s">
        <v>27</v>
      </c>
      <c r="E141" s="36">
        <v>8200.0</v>
      </c>
      <c r="F141" s="35" t="s">
        <v>34</v>
      </c>
      <c r="G141" s="37">
        <v>1.0</v>
      </c>
      <c r="H141" s="37">
        <v>1.0</v>
      </c>
      <c r="I141" s="37">
        <v>1.0</v>
      </c>
    </row>
    <row r="142">
      <c r="A142" s="34">
        <v>45798.0</v>
      </c>
      <c r="B142" s="35" t="s">
        <v>50</v>
      </c>
      <c r="C142" s="36">
        <v>132.9</v>
      </c>
      <c r="D142" s="35" t="s">
        <v>24</v>
      </c>
      <c r="E142" s="36">
        <v>0.0</v>
      </c>
      <c r="F142" s="35" t="s">
        <v>25</v>
      </c>
      <c r="G142" s="37">
        <v>1.0</v>
      </c>
      <c r="H142" s="37">
        <v>0.0</v>
      </c>
      <c r="I142" s="37">
        <v>0.0</v>
      </c>
    </row>
    <row r="143">
      <c r="A143" s="34">
        <v>45799.0</v>
      </c>
      <c r="B143" s="35" t="s">
        <v>51</v>
      </c>
      <c r="C143" s="36">
        <v>124.15</v>
      </c>
      <c r="D143" s="35" t="s">
        <v>27</v>
      </c>
      <c r="E143" s="36">
        <v>0.0</v>
      </c>
      <c r="F143" s="35" t="s">
        <v>28</v>
      </c>
      <c r="G143" s="37">
        <v>1.0</v>
      </c>
      <c r="H143" s="37">
        <v>1.0</v>
      </c>
      <c r="I143" s="37">
        <v>0.0</v>
      </c>
    </row>
    <row r="144">
      <c r="A144" s="34">
        <v>45800.0</v>
      </c>
      <c r="B144" s="35" t="s">
        <v>52</v>
      </c>
      <c r="C144" s="36">
        <v>94.55</v>
      </c>
      <c r="D144" s="35" t="s">
        <v>24</v>
      </c>
      <c r="E144" s="36">
        <v>0.0</v>
      </c>
      <c r="F144" s="35" t="s">
        <v>30</v>
      </c>
      <c r="G144" s="37">
        <v>1.0</v>
      </c>
      <c r="H144" s="37">
        <v>0.0</v>
      </c>
      <c r="I144" s="37">
        <v>0.0</v>
      </c>
    </row>
    <row r="145">
      <c r="A145" s="34">
        <v>45801.0</v>
      </c>
      <c r="B145" s="35" t="s">
        <v>53</v>
      </c>
      <c r="C145" s="36">
        <v>118.35</v>
      </c>
      <c r="D145" s="35" t="s">
        <v>27</v>
      </c>
      <c r="E145" s="36">
        <v>11900.0</v>
      </c>
      <c r="F145" s="35" t="s">
        <v>32</v>
      </c>
      <c r="G145" s="37">
        <v>1.0</v>
      </c>
      <c r="H145" s="37">
        <v>1.0</v>
      </c>
      <c r="I145" s="37">
        <v>1.0</v>
      </c>
    </row>
    <row r="146">
      <c r="A146" s="34">
        <v>45802.0</v>
      </c>
      <c r="B146" s="35" t="s">
        <v>54</v>
      </c>
      <c r="C146" s="36">
        <v>104.8</v>
      </c>
      <c r="D146" s="35" t="s">
        <v>24</v>
      </c>
      <c r="E146" s="36">
        <v>0.0</v>
      </c>
      <c r="F146" s="35" t="s">
        <v>34</v>
      </c>
      <c r="G146" s="37">
        <v>1.0</v>
      </c>
      <c r="H146" s="37">
        <v>0.0</v>
      </c>
      <c r="I146" s="37">
        <v>0.0</v>
      </c>
    </row>
    <row r="147">
      <c r="A147" s="34">
        <v>45803.0</v>
      </c>
      <c r="B147" s="35" t="s">
        <v>55</v>
      </c>
      <c r="C147" s="36">
        <v>146.5</v>
      </c>
      <c r="D147" s="35" t="s">
        <v>27</v>
      </c>
      <c r="E147" s="36">
        <v>16800.0</v>
      </c>
      <c r="F147" s="35" t="s">
        <v>25</v>
      </c>
      <c r="G147" s="37">
        <v>1.0</v>
      </c>
      <c r="H147" s="37">
        <v>1.0</v>
      </c>
      <c r="I147" s="37">
        <v>1.0</v>
      </c>
    </row>
    <row r="148">
      <c r="A148" s="34">
        <v>45804.0</v>
      </c>
      <c r="B148" s="35" t="s">
        <v>56</v>
      </c>
      <c r="C148" s="36">
        <v>80.45</v>
      </c>
      <c r="D148" s="35" t="s">
        <v>24</v>
      </c>
      <c r="E148" s="36">
        <v>0.0</v>
      </c>
      <c r="F148" s="35" t="s">
        <v>28</v>
      </c>
      <c r="G148" s="37">
        <v>1.0</v>
      </c>
      <c r="H148" s="37">
        <v>0.0</v>
      </c>
      <c r="I148" s="37">
        <v>0.0</v>
      </c>
    </row>
    <row r="149">
      <c r="A149" s="34">
        <v>45805.0</v>
      </c>
      <c r="B149" s="35" t="s">
        <v>57</v>
      </c>
      <c r="C149" s="36">
        <v>112.25</v>
      </c>
      <c r="D149" s="35" t="s">
        <v>27</v>
      </c>
      <c r="E149" s="36">
        <v>0.0</v>
      </c>
      <c r="F149" s="35" t="s">
        <v>30</v>
      </c>
      <c r="G149" s="37">
        <v>1.0</v>
      </c>
      <c r="H149" s="37">
        <v>1.0</v>
      </c>
      <c r="I149" s="37">
        <v>0.0</v>
      </c>
    </row>
    <row r="150">
      <c r="A150" s="34">
        <v>45806.0</v>
      </c>
      <c r="B150" s="35" t="s">
        <v>58</v>
      </c>
      <c r="C150" s="36">
        <v>158.9</v>
      </c>
      <c r="D150" s="35" t="s">
        <v>24</v>
      </c>
      <c r="E150" s="36">
        <v>0.0</v>
      </c>
      <c r="F150" s="35" t="s">
        <v>32</v>
      </c>
      <c r="G150" s="37">
        <v>1.0</v>
      </c>
      <c r="H150" s="37">
        <v>0.0</v>
      </c>
      <c r="I150" s="37">
        <v>0.0</v>
      </c>
    </row>
    <row r="151">
      <c r="A151" s="34">
        <v>45807.0</v>
      </c>
      <c r="B151" s="35" t="s">
        <v>59</v>
      </c>
      <c r="C151" s="36">
        <v>107.65</v>
      </c>
      <c r="D151" s="35" t="s">
        <v>27</v>
      </c>
      <c r="E151" s="36">
        <v>9500.0</v>
      </c>
      <c r="F151" s="35" t="s">
        <v>34</v>
      </c>
      <c r="G151" s="37">
        <v>1.0</v>
      </c>
      <c r="H151" s="37">
        <v>1.0</v>
      </c>
      <c r="I151" s="37">
        <v>1.0</v>
      </c>
    </row>
    <row r="152">
      <c r="A152" s="34">
        <v>45808.0</v>
      </c>
      <c r="B152" s="35" t="s">
        <v>23</v>
      </c>
      <c r="C152" s="36">
        <v>121.45</v>
      </c>
      <c r="D152" s="35" t="s">
        <v>24</v>
      </c>
      <c r="E152" s="36">
        <v>0.0</v>
      </c>
      <c r="F152" s="35" t="s">
        <v>25</v>
      </c>
      <c r="G152" s="37">
        <v>1.0</v>
      </c>
      <c r="H152" s="37">
        <v>0.0</v>
      </c>
      <c r="I152" s="37">
        <v>0.0</v>
      </c>
    </row>
    <row r="153">
      <c r="A153" s="34">
        <v>45809.0</v>
      </c>
      <c r="B153" s="35" t="s">
        <v>26</v>
      </c>
      <c r="C153" s="36">
        <v>89.99</v>
      </c>
      <c r="D153" s="35" t="s">
        <v>27</v>
      </c>
      <c r="E153" s="36">
        <v>8500.0</v>
      </c>
      <c r="F153" s="35" t="s">
        <v>28</v>
      </c>
      <c r="G153" s="37">
        <v>1.0</v>
      </c>
      <c r="H153" s="37">
        <v>1.0</v>
      </c>
      <c r="I153" s="37">
        <v>1.0</v>
      </c>
    </row>
    <row r="154">
      <c r="A154" s="34">
        <v>45810.0</v>
      </c>
      <c r="B154" s="35" t="s">
        <v>29</v>
      </c>
      <c r="C154" s="36">
        <v>154.3</v>
      </c>
      <c r="D154" s="35" t="s">
        <v>24</v>
      </c>
      <c r="E154" s="36">
        <v>0.0</v>
      </c>
      <c r="F154" s="35" t="s">
        <v>30</v>
      </c>
      <c r="G154" s="37">
        <v>1.0</v>
      </c>
      <c r="H154" s="37">
        <v>0.0</v>
      </c>
      <c r="I154" s="37">
        <v>0.0</v>
      </c>
    </row>
    <row r="155">
      <c r="A155" s="34">
        <v>45811.0</v>
      </c>
      <c r="B155" s="35" t="s">
        <v>31</v>
      </c>
      <c r="C155" s="36">
        <v>110.75</v>
      </c>
      <c r="D155" s="35" t="s">
        <v>27</v>
      </c>
      <c r="E155" s="36">
        <v>12500.0</v>
      </c>
      <c r="F155" s="35" t="s">
        <v>32</v>
      </c>
      <c r="G155" s="37">
        <v>1.0</v>
      </c>
      <c r="H155" s="37">
        <v>1.0</v>
      </c>
      <c r="I155" s="37">
        <v>1.0</v>
      </c>
    </row>
    <row r="156">
      <c r="A156" s="34">
        <v>45812.0</v>
      </c>
      <c r="B156" s="35" t="s">
        <v>33</v>
      </c>
      <c r="C156" s="36">
        <v>78.6</v>
      </c>
      <c r="D156" s="35" t="s">
        <v>24</v>
      </c>
      <c r="E156" s="36">
        <v>0.0</v>
      </c>
      <c r="F156" s="35" t="s">
        <v>34</v>
      </c>
      <c r="G156" s="37">
        <v>1.0</v>
      </c>
      <c r="H156" s="37">
        <v>0.0</v>
      </c>
      <c r="I156" s="37">
        <v>0.0</v>
      </c>
    </row>
    <row r="157">
      <c r="A157" s="34">
        <v>45813.0</v>
      </c>
      <c r="B157" s="35" t="s">
        <v>35</v>
      </c>
      <c r="C157" s="36">
        <v>135.2</v>
      </c>
      <c r="D157" s="35" t="s">
        <v>27</v>
      </c>
      <c r="E157" s="36">
        <v>0.0</v>
      </c>
      <c r="F157" s="35" t="s">
        <v>28</v>
      </c>
      <c r="G157" s="37">
        <v>1.0</v>
      </c>
      <c r="H157" s="37">
        <v>1.0</v>
      </c>
      <c r="I157" s="37">
        <v>0.0</v>
      </c>
    </row>
    <row r="158">
      <c r="A158" s="34">
        <v>45814.0</v>
      </c>
      <c r="B158" s="35" t="s">
        <v>36</v>
      </c>
      <c r="C158" s="36">
        <v>96.45</v>
      </c>
      <c r="D158" s="35" t="s">
        <v>24</v>
      </c>
      <c r="E158" s="36">
        <v>0.0</v>
      </c>
      <c r="F158" s="35" t="s">
        <v>25</v>
      </c>
      <c r="G158" s="37">
        <v>1.0</v>
      </c>
      <c r="H158" s="37">
        <v>0.0</v>
      </c>
      <c r="I158" s="37">
        <v>0.0</v>
      </c>
    </row>
    <row r="159">
      <c r="A159" s="34">
        <v>45815.0</v>
      </c>
      <c r="B159" s="35" t="s">
        <v>37</v>
      </c>
      <c r="C159" s="36">
        <v>142.8</v>
      </c>
      <c r="D159" s="35" t="s">
        <v>27</v>
      </c>
      <c r="E159" s="36">
        <v>9800.0</v>
      </c>
      <c r="F159" s="35" t="s">
        <v>30</v>
      </c>
      <c r="G159" s="37">
        <v>1.0</v>
      </c>
      <c r="H159" s="37">
        <v>1.0</v>
      </c>
      <c r="I159" s="37">
        <v>1.0</v>
      </c>
    </row>
    <row r="160">
      <c r="A160" s="34">
        <v>45816.0</v>
      </c>
      <c r="B160" s="35" t="s">
        <v>38</v>
      </c>
      <c r="C160" s="36">
        <v>105.9</v>
      </c>
      <c r="D160" s="35" t="s">
        <v>24</v>
      </c>
      <c r="E160" s="36">
        <v>0.0</v>
      </c>
      <c r="F160" s="35" t="s">
        <v>32</v>
      </c>
      <c r="G160" s="37">
        <v>1.0</v>
      </c>
      <c r="H160" s="37">
        <v>0.0</v>
      </c>
      <c r="I160" s="37">
        <v>0.0</v>
      </c>
    </row>
    <row r="161">
      <c r="A161" s="34">
        <v>45817.0</v>
      </c>
      <c r="B161" s="35" t="s">
        <v>39</v>
      </c>
      <c r="C161" s="36">
        <v>82.15</v>
      </c>
      <c r="D161" s="35" t="s">
        <v>27</v>
      </c>
      <c r="E161" s="36">
        <v>15200.0</v>
      </c>
      <c r="F161" s="35" t="s">
        <v>34</v>
      </c>
      <c r="G161" s="37">
        <v>1.0</v>
      </c>
      <c r="H161" s="37">
        <v>1.0</v>
      </c>
      <c r="I161" s="37">
        <v>1.0</v>
      </c>
    </row>
    <row r="162">
      <c r="A162" s="34">
        <v>45818.0</v>
      </c>
      <c r="B162" s="35" t="s">
        <v>40</v>
      </c>
      <c r="C162" s="36">
        <v>160.55</v>
      </c>
      <c r="D162" s="35" t="s">
        <v>24</v>
      </c>
      <c r="E162" s="36">
        <v>0.0</v>
      </c>
      <c r="F162" s="35" t="s">
        <v>25</v>
      </c>
      <c r="G162" s="37">
        <v>1.0</v>
      </c>
      <c r="H162" s="37">
        <v>0.0</v>
      </c>
      <c r="I162" s="37">
        <v>0.0</v>
      </c>
    </row>
    <row r="163">
      <c r="A163" s="34">
        <v>45819.0</v>
      </c>
      <c r="B163" s="35" t="s">
        <v>41</v>
      </c>
      <c r="C163" s="36">
        <v>92.3</v>
      </c>
      <c r="D163" s="35" t="s">
        <v>27</v>
      </c>
      <c r="E163" s="36">
        <v>7600.0</v>
      </c>
      <c r="F163" s="35" t="s">
        <v>28</v>
      </c>
      <c r="G163" s="37">
        <v>1.0</v>
      </c>
      <c r="H163" s="37">
        <v>1.0</v>
      </c>
      <c r="I163" s="37">
        <v>1.0</v>
      </c>
    </row>
    <row r="164">
      <c r="A164" s="34">
        <v>45820.0</v>
      </c>
      <c r="B164" s="35" t="s">
        <v>42</v>
      </c>
      <c r="C164" s="36">
        <v>128.7</v>
      </c>
      <c r="D164" s="35" t="s">
        <v>24</v>
      </c>
      <c r="E164" s="36">
        <v>0.0</v>
      </c>
      <c r="F164" s="35" t="s">
        <v>30</v>
      </c>
      <c r="G164" s="37">
        <v>1.0</v>
      </c>
      <c r="H164" s="37">
        <v>0.0</v>
      </c>
      <c r="I164" s="37">
        <v>0.0</v>
      </c>
    </row>
    <row r="165">
      <c r="A165" s="34">
        <v>45821.0</v>
      </c>
      <c r="B165" s="35" t="s">
        <v>43</v>
      </c>
      <c r="C165" s="36">
        <v>114.65</v>
      </c>
      <c r="D165" s="35" t="s">
        <v>27</v>
      </c>
      <c r="E165" s="36">
        <v>0.0</v>
      </c>
      <c r="F165" s="35" t="s">
        <v>32</v>
      </c>
      <c r="G165" s="37">
        <v>1.0</v>
      </c>
      <c r="H165" s="37">
        <v>1.0</v>
      </c>
      <c r="I165" s="37">
        <v>0.0</v>
      </c>
    </row>
    <row r="166">
      <c r="A166" s="34">
        <v>45822.0</v>
      </c>
      <c r="B166" s="35" t="s">
        <v>44</v>
      </c>
      <c r="C166" s="36">
        <v>85.25</v>
      </c>
      <c r="D166" s="35" t="s">
        <v>24</v>
      </c>
      <c r="E166" s="36">
        <v>0.0</v>
      </c>
      <c r="F166" s="35" t="s">
        <v>34</v>
      </c>
      <c r="G166" s="37">
        <v>1.0</v>
      </c>
      <c r="H166" s="37">
        <v>0.0</v>
      </c>
      <c r="I166" s="37">
        <v>0.0</v>
      </c>
    </row>
    <row r="167">
      <c r="A167" s="34">
        <v>45823.0</v>
      </c>
      <c r="B167" s="35" t="s">
        <v>45</v>
      </c>
      <c r="C167" s="36">
        <v>139.4</v>
      </c>
      <c r="D167" s="35" t="s">
        <v>27</v>
      </c>
      <c r="E167" s="36">
        <v>10300.0</v>
      </c>
      <c r="F167" s="35" t="s">
        <v>25</v>
      </c>
      <c r="G167" s="37">
        <v>1.0</v>
      </c>
      <c r="H167" s="37">
        <v>1.0</v>
      </c>
      <c r="I167" s="37">
        <v>1.0</v>
      </c>
    </row>
    <row r="168">
      <c r="A168" s="34">
        <v>45824.0</v>
      </c>
      <c r="B168" s="35" t="s">
        <v>46</v>
      </c>
      <c r="C168" s="36">
        <v>101.85</v>
      </c>
      <c r="D168" s="35" t="s">
        <v>24</v>
      </c>
      <c r="E168" s="36">
        <v>0.0</v>
      </c>
      <c r="F168" s="35" t="s">
        <v>28</v>
      </c>
      <c r="G168" s="37">
        <v>1.0</v>
      </c>
      <c r="H168" s="37">
        <v>0.0</v>
      </c>
      <c r="I168" s="37">
        <v>0.0</v>
      </c>
    </row>
    <row r="169">
      <c r="A169" s="34">
        <v>45825.0</v>
      </c>
      <c r="B169" s="35" t="s">
        <v>47</v>
      </c>
      <c r="C169" s="36">
        <v>98.75</v>
      </c>
      <c r="D169" s="35" t="s">
        <v>27</v>
      </c>
      <c r="E169" s="36">
        <v>14500.0</v>
      </c>
      <c r="F169" s="35" t="s">
        <v>30</v>
      </c>
      <c r="G169" s="37">
        <v>1.0</v>
      </c>
      <c r="H169" s="37">
        <v>1.0</v>
      </c>
      <c r="I169" s="37">
        <v>1.0</v>
      </c>
    </row>
    <row r="170">
      <c r="A170" s="34">
        <v>45826.0</v>
      </c>
      <c r="B170" s="35" t="s">
        <v>48</v>
      </c>
      <c r="C170" s="36">
        <v>150.2</v>
      </c>
      <c r="D170" s="35" t="s">
        <v>24</v>
      </c>
      <c r="E170" s="36">
        <v>0.0</v>
      </c>
      <c r="F170" s="35" t="s">
        <v>32</v>
      </c>
      <c r="G170" s="37">
        <v>1.0</v>
      </c>
      <c r="H170" s="37">
        <v>0.0</v>
      </c>
      <c r="I170" s="37">
        <v>0.0</v>
      </c>
    </row>
    <row r="171">
      <c r="A171" s="34">
        <v>45827.0</v>
      </c>
      <c r="B171" s="35" t="s">
        <v>49</v>
      </c>
      <c r="C171" s="36">
        <v>108.6</v>
      </c>
      <c r="D171" s="35" t="s">
        <v>27</v>
      </c>
      <c r="E171" s="36">
        <v>8200.0</v>
      </c>
      <c r="F171" s="35" t="s">
        <v>34</v>
      </c>
      <c r="G171" s="37">
        <v>1.0</v>
      </c>
      <c r="H171" s="37">
        <v>1.0</v>
      </c>
      <c r="I171" s="37">
        <v>1.0</v>
      </c>
    </row>
    <row r="172">
      <c r="A172" s="34">
        <v>45828.0</v>
      </c>
      <c r="B172" s="35" t="s">
        <v>50</v>
      </c>
      <c r="C172" s="36">
        <v>132.9</v>
      </c>
      <c r="D172" s="35" t="s">
        <v>24</v>
      </c>
      <c r="E172" s="36">
        <v>0.0</v>
      </c>
      <c r="F172" s="35" t="s">
        <v>25</v>
      </c>
      <c r="G172" s="37">
        <v>1.0</v>
      </c>
      <c r="H172" s="37">
        <v>0.0</v>
      </c>
      <c r="I172" s="37">
        <v>0.0</v>
      </c>
    </row>
    <row r="173">
      <c r="A173" s="34">
        <v>45829.0</v>
      </c>
      <c r="B173" s="35" t="s">
        <v>51</v>
      </c>
      <c r="C173" s="36">
        <v>124.15</v>
      </c>
      <c r="D173" s="35" t="s">
        <v>27</v>
      </c>
      <c r="E173" s="36">
        <v>0.0</v>
      </c>
      <c r="F173" s="35" t="s">
        <v>28</v>
      </c>
      <c r="G173" s="37">
        <v>1.0</v>
      </c>
      <c r="H173" s="37">
        <v>1.0</v>
      </c>
      <c r="I173" s="37">
        <v>0.0</v>
      </c>
    </row>
    <row r="174">
      <c r="A174" s="34">
        <v>45830.0</v>
      </c>
      <c r="B174" s="35" t="s">
        <v>52</v>
      </c>
      <c r="C174" s="36">
        <v>94.55</v>
      </c>
      <c r="D174" s="35" t="s">
        <v>24</v>
      </c>
      <c r="E174" s="36">
        <v>0.0</v>
      </c>
      <c r="F174" s="35" t="s">
        <v>30</v>
      </c>
      <c r="G174" s="37">
        <v>1.0</v>
      </c>
      <c r="H174" s="37">
        <v>0.0</v>
      </c>
      <c r="I174" s="37">
        <v>0.0</v>
      </c>
    </row>
    <row r="175">
      <c r="A175" s="34">
        <v>45831.0</v>
      </c>
      <c r="B175" s="35" t="s">
        <v>53</v>
      </c>
      <c r="C175" s="36">
        <v>118.35</v>
      </c>
      <c r="D175" s="35" t="s">
        <v>27</v>
      </c>
      <c r="E175" s="36">
        <v>11900.0</v>
      </c>
      <c r="F175" s="35" t="s">
        <v>32</v>
      </c>
      <c r="G175" s="37">
        <v>1.0</v>
      </c>
      <c r="H175" s="37">
        <v>1.0</v>
      </c>
      <c r="I175" s="37">
        <v>1.0</v>
      </c>
    </row>
    <row r="176">
      <c r="A176" s="34">
        <v>45832.0</v>
      </c>
      <c r="B176" s="35" t="s">
        <v>54</v>
      </c>
      <c r="C176" s="36">
        <v>104.8</v>
      </c>
      <c r="D176" s="35" t="s">
        <v>24</v>
      </c>
      <c r="E176" s="36">
        <v>0.0</v>
      </c>
      <c r="F176" s="35" t="s">
        <v>34</v>
      </c>
      <c r="G176" s="37">
        <v>1.0</v>
      </c>
      <c r="H176" s="37">
        <v>0.0</v>
      </c>
      <c r="I176" s="37">
        <v>0.0</v>
      </c>
    </row>
    <row r="177">
      <c r="A177" s="34">
        <v>45833.0</v>
      </c>
      <c r="B177" s="35" t="s">
        <v>55</v>
      </c>
      <c r="C177" s="36">
        <v>146.5</v>
      </c>
      <c r="D177" s="35" t="s">
        <v>27</v>
      </c>
      <c r="E177" s="36">
        <v>16800.0</v>
      </c>
      <c r="F177" s="35" t="s">
        <v>25</v>
      </c>
      <c r="G177" s="37">
        <v>1.0</v>
      </c>
      <c r="H177" s="37">
        <v>1.0</v>
      </c>
      <c r="I177" s="37">
        <v>1.0</v>
      </c>
    </row>
    <row r="178">
      <c r="A178" s="34">
        <v>45834.0</v>
      </c>
      <c r="B178" s="35" t="s">
        <v>56</v>
      </c>
      <c r="C178" s="36">
        <v>80.45</v>
      </c>
      <c r="D178" s="35" t="s">
        <v>24</v>
      </c>
      <c r="E178" s="36">
        <v>0.0</v>
      </c>
      <c r="F178" s="35" t="s">
        <v>28</v>
      </c>
      <c r="G178" s="37">
        <v>1.0</v>
      </c>
      <c r="H178" s="37">
        <v>0.0</v>
      </c>
      <c r="I178" s="37">
        <v>0.0</v>
      </c>
    </row>
    <row r="179">
      <c r="A179" s="34">
        <v>45835.0</v>
      </c>
      <c r="B179" s="35" t="s">
        <v>57</v>
      </c>
      <c r="C179" s="36">
        <v>112.25</v>
      </c>
      <c r="D179" s="35" t="s">
        <v>27</v>
      </c>
      <c r="E179" s="36">
        <v>0.0</v>
      </c>
      <c r="F179" s="35" t="s">
        <v>30</v>
      </c>
      <c r="G179" s="37">
        <v>1.0</v>
      </c>
      <c r="H179" s="37">
        <v>1.0</v>
      </c>
      <c r="I179" s="37">
        <v>0.0</v>
      </c>
    </row>
    <row r="180">
      <c r="A180" s="34">
        <v>45836.0</v>
      </c>
      <c r="B180" s="35" t="s">
        <v>58</v>
      </c>
      <c r="C180" s="36">
        <v>158.9</v>
      </c>
      <c r="D180" s="35" t="s">
        <v>24</v>
      </c>
      <c r="E180" s="36">
        <v>0.0</v>
      </c>
      <c r="F180" s="35" t="s">
        <v>32</v>
      </c>
      <c r="G180" s="37">
        <v>1.0</v>
      </c>
      <c r="H180" s="37">
        <v>0.0</v>
      </c>
      <c r="I180" s="37">
        <v>0.0</v>
      </c>
    </row>
    <row r="181">
      <c r="A181" s="34">
        <v>45837.0</v>
      </c>
      <c r="B181" s="35" t="s">
        <v>59</v>
      </c>
      <c r="C181" s="36">
        <v>107.65</v>
      </c>
      <c r="D181" s="35" t="s">
        <v>27</v>
      </c>
      <c r="E181" s="36">
        <v>9500.0</v>
      </c>
      <c r="F181" s="35" t="s">
        <v>34</v>
      </c>
      <c r="G181" s="37">
        <v>1.0</v>
      </c>
      <c r="H181" s="37">
        <v>1.0</v>
      </c>
      <c r="I181" s="37">
        <v>1.0</v>
      </c>
    </row>
    <row r="182">
      <c r="A182" s="34">
        <v>45838.0</v>
      </c>
      <c r="B182" s="35" t="s">
        <v>23</v>
      </c>
      <c r="C182" s="36">
        <v>121.45</v>
      </c>
      <c r="D182" s="35" t="s">
        <v>24</v>
      </c>
      <c r="E182" s="36">
        <v>0.0</v>
      </c>
      <c r="F182" s="35" t="s">
        <v>25</v>
      </c>
      <c r="G182" s="37">
        <v>1.0</v>
      </c>
      <c r="H182" s="37">
        <v>0.0</v>
      </c>
      <c r="I182" s="37">
        <v>0.0</v>
      </c>
    </row>
    <row r="183">
      <c r="A183" s="34">
        <v>45839.0</v>
      </c>
      <c r="B183" s="35" t="s">
        <v>26</v>
      </c>
      <c r="C183" s="36">
        <v>89.99</v>
      </c>
      <c r="D183" s="35" t="s">
        <v>27</v>
      </c>
      <c r="E183" s="36">
        <v>8500.0</v>
      </c>
      <c r="F183" s="35" t="s">
        <v>28</v>
      </c>
      <c r="G183" s="37">
        <v>1.0</v>
      </c>
      <c r="H183" s="37">
        <v>1.0</v>
      </c>
      <c r="I183" s="37">
        <v>1.0</v>
      </c>
    </row>
    <row r="184">
      <c r="A184" s="34">
        <v>45840.0</v>
      </c>
      <c r="B184" s="35" t="s">
        <v>29</v>
      </c>
      <c r="C184" s="36">
        <v>154.3</v>
      </c>
      <c r="D184" s="35" t="s">
        <v>24</v>
      </c>
      <c r="E184" s="36">
        <v>0.0</v>
      </c>
      <c r="F184" s="35" t="s">
        <v>30</v>
      </c>
      <c r="G184" s="37">
        <v>1.0</v>
      </c>
      <c r="H184" s="37">
        <v>0.0</v>
      </c>
      <c r="I184" s="37">
        <v>0.0</v>
      </c>
    </row>
    <row r="185">
      <c r="A185" s="34">
        <v>45841.0</v>
      </c>
      <c r="B185" s="35" t="s">
        <v>31</v>
      </c>
      <c r="C185" s="36">
        <v>110.75</v>
      </c>
      <c r="D185" s="35" t="s">
        <v>27</v>
      </c>
      <c r="E185" s="36">
        <v>12500.0</v>
      </c>
      <c r="F185" s="35" t="s">
        <v>32</v>
      </c>
      <c r="G185" s="37">
        <v>1.0</v>
      </c>
      <c r="H185" s="37">
        <v>1.0</v>
      </c>
      <c r="I185" s="37">
        <v>1.0</v>
      </c>
    </row>
    <row r="186">
      <c r="A186" s="34">
        <v>45842.0</v>
      </c>
      <c r="B186" s="35" t="s">
        <v>33</v>
      </c>
      <c r="C186" s="36">
        <v>78.6</v>
      </c>
      <c r="D186" s="35" t="s">
        <v>24</v>
      </c>
      <c r="E186" s="36">
        <v>0.0</v>
      </c>
      <c r="F186" s="35" t="s">
        <v>34</v>
      </c>
      <c r="G186" s="37">
        <v>1.0</v>
      </c>
      <c r="H186" s="37">
        <v>0.0</v>
      </c>
      <c r="I186" s="37">
        <v>0.0</v>
      </c>
    </row>
    <row r="187">
      <c r="A187" s="34">
        <v>45843.0</v>
      </c>
      <c r="B187" s="35" t="s">
        <v>35</v>
      </c>
      <c r="C187" s="36">
        <v>135.2</v>
      </c>
      <c r="D187" s="35" t="s">
        <v>27</v>
      </c>
      <c r="E187" s="36">
        <v>0.0</v>
      </c>
      <c r="F187" s="35" t="s">
        <v>28</v>
      </c>
      <c r="G187" s="37">
        <v>1.0</v>
      </c>
      <c r="H187" s="37">
        <v>1.0</v>
      </c>
      <c r="I187" s="37">
        <v>0.0</v>
      </c>
    </row>
    <row r="188">
      <c r="A188" s="34">
        <v>45844.0</v>
      </c>
      <c r="B188" s="35" t="s">
        <v>36</v>
      </c>
      <c r="C188" s="36">
        <v>96.45</v>
      </c>
      <c r="D188" s="35" t="s">
        <v>24</v>
      </c>
      <c r="E188" s="36">
        <v>0.0</v>
      </c>
      <c r="F188" s="35" t="s">
        <v>25</v>
      </c>
      <c r="G188" s="37">
        <v>1.0</v>
      </c>
      <c r="H188" s="37">
        <v>0.0</v>
      </c>
      <c r="I188" s="37">
        <v>0.0</v>
      </c>
    </row>
    <row r="189">
      <c r="A189" s="34">
        <v>45845.0</v>
      </c>
      <c r="B189" s="35" t="s">
        <v>37</v>
      </c>
      <c r="C189" s="36">
        <v>142.8</v>
      </c>
      <c r="D189" s="35" t="s">
        <v>27</v>
      </c>
      <c r="E189" s="36">
        <v>9800.0</v>
      </c>
      <c r="F189" s="35" t="s">
        <v>30</v>
      </c>
      <c r="G189" s="37">
        <v>1.0</v>
      </c>
      <c r="H189" s="37">
        <v>1.0</v>
      </c>
      <c r="I189" s="37">
        <v>1.0</v>
      </c>
    </row>
    <row r="190">
      <c r="A190" s="34">
        <v>45846.0</v>
      </c>
      <c r="B190" s="35" t="s">
        <v>38</v>
      </c>
      <c r="C190" s="36">
        <v>105.9</v>
      </c>
      <c r="D190" s="35" t="s">
        <v>24</v>
      </c>
      <c r="E190" s="36">
        <v>0.0</v>
      </c>
      <c r="F190" s="35" t="s">
        <v>32</v>
      </c>
      <c r="G190" s="37">
        <v>1.0</v>
      </c>
      <c r="H190" s="37">
        <v>0.0</v>
      </c>
      <c r="I190" s="37">
        <v>0.0</v>
      </c>
    </row>
    <row r="191">
      <c r="A191" s="34">
        <v>45847.0</v>
      </c>
      <c r="B191" s="35" t="s">
        <v>39</v>
      </c>
      <c r="C191" s="36">
        <v>82.15</v>
      </c>
      <c r="D191" s="35" t="s">
        <v>27</v>
      </c>
      <c r="E191" s="36">
        <v>15200.0</v>
      </c>
      <c r="F191" s="35" t="s">
        <v>34</v>
      </c>
      <c r="G191" s="37">
        <v>1.0</v>
      </c>
      <c r="H191" s="37">
        <v>1.0</v>
      </c>
      <c r="I191" s="37">
        <v>1.0</v>
      </c>
    </row>
    <row r="192">
      <c r="A192" s="34">
        <v>45848.0</v>
      </c>
      <c r="B192" s="35" t="s">
        <v>40</v>
      </c>
      <c r="C192" s="36">
        <v>160.55</v>
      </c>
      <c r="D192" s="35" t="s">
        <v>24</v>
      </c>
      <c r="E192" s="36">
        <v>0.0</v>
      </c>
      <c r="F192" s="35" t="s">
        <v>25</v>
      </c>
      <c r="G192" s="37">
        <v>1.0</v>
      </c>
      <c r="H192" s="37">
        <v>0.0</v>
      </c>
      <c r="I192" s="37">
        <v>0.0</v>
      </c>
    </row>
    <row r="193">
      <c r="A193" s="34">
        <v>45849.0</v>
      </c>
      <c r="B193" s="35" t="s">
        <v>41</v>
      </c>
      <c r="C193" s="36">
        <v>92.3</v>
      </c>
      <c r="D193" s="35" t="s">
        <v>27</v>
      </c>
      <c r="E193" s="36">
        <v>7600.0</v>
      </c>
      <c r="F193" s="35" t="s">
        <v>28</v>
      </c>
      <c r="G193" s="37">
        <v>1.0</v>
      </c>
      <c r="H193" s="37">
        <v>1.0</v>
      </c>
      <c r="I193" s="37">
        <v>1.0</v>
      </c>
    </row>
    <row r="194">
      <c r="A194" s="34">
        <v>45850.0</v>
      </c>
      <c r="B194" s="35" t="s">
        <v>42</v>
      </c>
      <c r="C194" s="36">
        <v>128.7</v>
      </c>
      <c r="D194" s="35" t="s">
        <v>24</v>
      </c>
      <c r="E194" s="36">
        <v>0.0</v>
      </c>
      <c r="F194" s="35" t="s">
        <v>30</v>
      </c>
      <c r="G194" s="37">
        <v>1.0</v>
      </c>
      <c r="H194" s="37">
        <v>0.0</v>
      </c>
      <c r="I194" s="37">
        <v>0.0</v>
      </c>
    </row>
    <row r="195">
      <c r="A195" s="34">
        <v>45851.0</v>
      </c>
      <c r="B195" s="35" t="s">
        <v>43</v>
      </c>
      <c r="C195" s="36">
        <v>114.65</v>
      </c>
      <c r="D195" s="35" t="s">
        <v>27</v>
      </c>
      <c r="E195" s="36">
        <v>0.0</v>
      </c>
      <c r="F195" s="35" t="s">
        <v>32</v>
      </c>
      <c r="G195" s="37">
        <v>1.0</v>
      </c>
      <c r="H195" s="37">
        <v>1.0</v>
      </c>
      <c r="I195" s="37">
        <v>0.0</v>
      </c>
    </row>
    <row r="196">
      <c r="A196" s="34">
        <v>45852.0</v>
      </c>
      <c r="B196" s="35" t="s">
        <v>44</v>
      </c>
      <c r="C196" s="36">
        <v>85.25</v>
      </c>
      <c r="D196" s="35" t="s">
        <v>24</v>
      </c>
      <c r="E196" s="36">
        <v>0.0</v>
      </c>
      <c r="F196" s="35" t="s">
        <v>34</v>
      </c>
      <c r="G196" s="37">
        <v>1.0</v>
      </c>
      <c r="H196" s="37">
        <v>0.0</v>
      </c>
      <c r="I196" s="37">
        <v>0.0</v>
      </c>
    </row>
    <row r="197">
      <c r="A197" s="34">
        <v>45853.0</v>
      </c>
      <c r="B197" s="35" t="s">
        <v>45</v>
      </c>
      <c r="C197" s="36">
        <v>139.4</v>
      </c>
      <c r="D197" s="35" t="s">
        <v>27</v>
      </c>
      <c r="E197" s="36">
        <v>10300.0</v>
      </c>
      <c r="F197" s="35" t="s">
        <v>25</v>
      </c>
      <c r="G197" s="37">
        <v>1.0</v>
      </c>
      <c r="H197" s="37">
        <v>1.0</v>
      </c>
      <c r="I197" s="37">
        <v>1.0</v>
      </c>
    </row>
    <row r="198">
      <c r="A198" s="34">
        <v>45854.0</v>
      </c>
      <c r="B198" s="35" t="s">
        <v>46</v>
      </c>
      <c r="C198" s="36">
        <v>101.85</v>
      </c>
      <c r="D198" s="35" t="s">
        <v>24</v>
      </c>
      <c r="E198" s="36">
        <v>0.0</v>
      </c>
      <c r="F198" s="35" t="s">
        <v>28</v>
      </c>
      <c r="G198" s="37">
        <v>1.0</v>
      </c>
      <c r="H198" s="37">
        <v>0.0</v>
      </c>
      <c r="I198" s="37">
        <v>0.0</v>
      </c>
    </row>
    <row r="199">
      <c r="A199" s="34">
        <v>45855.0</v>
      </c>
      <c r="B199" s="35" t="s">
        <v>47</v>
      </c>
      <c r="C199" s="36">
        <v>98.75</v>
      </c>
      <c r="D199" s="35" t="s">
        <v>27</v>
      </c>
      <c r="E199" s="36">
        <v>14500.0</v>
      </c>
      <c r="F199" s="35" t="s">
        <v>30</v>
      </c>
      <c r="G199" s="37">
        <v>1.0</v>
      </c>
      <c r="H199" s="37">
        <v>1.0</v>
      </c>
      <c r="I199" s="37">
        <v>1.0</v>
      </c>
    </row>
    <row r="200">
      <c r="A200" s="34">
        <v>45856.0</v>
      </c>
      <c r="B200" s="35" t="s">
        <v>48</v>
      </c>
      <c r="C200" s="36">
        <v>150.2</v>
      </c>
      <c r="D200" s="35" t="s">
        <v>24</v>
      </c>
      <c r="E200" s="36">
        <v>0.0</v>
      </c>
      <c r="F200" s="35" t="s">
        <v>32</v>
      </c>
      <c r="G200" s="37">
        <v>1.0</v>
      </c>
      <c r="H200" s="37">
        <v>0.0</v>
      </c>
      <c r="I200" s="37">
        <v>0.0</v>
      </c>
    </row>
    <row r="201">
      <c r="A201" s="34">
        <v>45857.0</v>
      </c>
      <c r="B201" s="35" t="s">
        <v>49</v>
      </c>
      <c r="C201" s="36">
        <v>108.6</v>
      </c>
      <c r="D201" s="35" t="s">
        <v>27</v>
      </c>
      <c r="E201" s="36">
        <v>8200.0</v>
      </c>
      <c r="F201" s="35" t="s">
        <v>34</v>
      </c>
      <c r="G201" s="37">
        <v>1.0</v>
      </c>
      <c r="H201" s="37">
        <v>1.0</v>
      </c>
      <c r="I201" s="37">
        <v>1.0</v>
      </c>
    </row>
    <row r="202">
      <c r="A202" s="34">
        <v>45858.0</v>
      </c>
      <c r="B202" s="35" t="s">
        <v>50</v>
      </c>
      <c r="C202" s="36">
        <v>132.9</v>
      </c>
      <c r="D202" s="35" t="s">
        <v>24</v>
      </c>
      <c r="E202" s="36">
        <v>0.0</v>
      </c>
      <c r="F202" s="35" t="s">
        <v>25</v>
      </c>
      <c r="G202" s="37">
        <v>1.0</v>
      </c>
      <c r="H202" s="37">
        <v>0.0</v>
      </c>
      <c r="I202" s="37">
        <v>0.0</v>
      </c>
    </row>
    <row r="203">
      <c r="A203" s="34">
        <v>45859.0</v>
      </c>
      <c r="B203" s="35" t="s">
        <v>51</v>
      </c>
      <c r="C203" s="36">
        <v>124.15</v>
      </c>
      <c r="D203" s="35" t="s">
        <v>27</v>
      </c>
      <c r="E203" s="36">
        <v>0.0</v>
      </c>
      <c r="F203" s="35" t="s">
        <v>28</v>
      </c>
      <c r="G203" s="37">
        <v>1.0</v>
      </c>
      <c r="H203" s="37">
        <v>1.0</v>
      </c>
      <c r="I203" s="37">
        <v>0.0</v>
      </c>
    </row>
    <row r="204">
      <c r="A204" s="34">
        <v>45860.0</v>
      </c>
      <c r="B204" s="35" t="s">
        <v>52</v>
      </c>
      <c r="C204" s="36">
        <v>94.55</v>
      </c>
      <c r="D204" s="35" t="s">
        <v>24</v>
      </c>
      <c r="E204" s="36">
        <v>0.0</v>
      </c>
      <c r="F204" s="35" t="s">
        <v>30</v>
      </c>
      <c r="G204" s="37">
        <v>1.0</v>
      </c>
      <c r="H204" s="37">
        <v>0.0</v>
      </c>
      <c r="I204" s="37">
        <v>0.0</v>
      </c>
    </row>
    <row r="205">
      <c r="A205" s="34">
        <v>45861.0</v>
      </c>
      <c r="B205" s="35" t="s">
        <v>53</v>
      </c>
      <c r="C205" s="36">
        <v>118.35</v>
      </c>
      <c r="D205" s="35" t="s">
        <v>27</v>
      </c>
      <c r="E205" s="36">
        <v>11900.0</v>
      </c>
      <c r="F205" s="35" t="s">
        <v>32</v>
      </c>
      <c r="G205" s="37">
        <v>1.0</v>
      </c>
      <c r="H205" s="37">
        <v>1.0</v>
      </c>
      <c r="I205" s="37">
        <v>1.0</v>
      </c>
    </row>
    <row r="206">
      <c r="A206" s="34">
        <v>45862.0</v>
      </c>
      <c r="B206" s="35" t="s">
        <v>54</v>
      </c>
      <c r="C206" s="36">
        <v>104.8</v>
      </c>
      <c r="D206" s="35" t="s">
        <v>24</v>
      </c>
      <c r="E206" s="36">
        <v>0.0</v>
      </c>
      <c r="F206" s="35" t="s">
        <v>34</v>
      </c>
      <c r="G206" s="37">
        <v>1.0</v>
      </c>
      <c r="H206" s="37">
        <v>0.0</v>
      </c>
      <c r="I206" s="37">
        <v>0.0</v>
      </c>
    </row>
    <row r="207">
      <c r="A207" s="34">
        <v>45863.0</v>
      </c>
      <c r="B207" s="35" t="s">
        <v>55</v>
      </c>
      <c r="C207" s="36">
        <v>146.5</v>
      </c>
      <c r="D207" s="35" t="s">
        <v>27</v>
      </c>
      <c r="E207" s="36">
        <v>16800.0</v>
      </c>
      <c r="F207" s="35" t="s">
        <v>25</v>
      </c>
      <c r="G207" s="37">
        <v>1.0</v>
      </c>
      <c r="H207" s="37">
        <v>1.0</v>
      </c>
      <c r="I207" s="37">
        <v>1.0</v>
      </c>
    </row>
    <row r="208">
      <c r="A208" s="34">
        <v>45864.0</v>
      </c>
      <c r="B208" s="35" t="s">
        <v>56</v>
      </c>
      <c r="C208" s="36">
        <v>80.45</v>
      </c>
      <c r="D208" s="35" t="s">
        <v>24</v>
      </c>
      <c r="E208" s="36">
        <v>0.0</v>
      </c>
      <c r="F208" s="35" t="s">
        <v>28</v>
      </c>
      <c r="G208" s="37">
        <v>1.0</v>
      </c>
      <c r="H208" s="37">
        <v>0.0</v>
      </c>
      <c r="I208" s="37">
        <v>0.0</v>
      </c>
    </row>
    <row r="209">
      <c r="A209" s="34">
        <v>45865.0</v>
      </c>
      <c r="B209" s="35" t="s">
        <v>57</v>
      </c>
      <c r="C209" s="36">
        <v>112.25</v>
      </c>
      <c r="D209" s="35" t="s">
        <v>27</v>
      </c>
      <c r="E209" s="36">
        <v>0.0</v>
      </c>
      <c r="F209" s="35" t="s">
        <v>30</v>
      </c>
      <c r="G209" s="37">
        <v>1.0</v>
      </c>
      <c r="H209" s="37">
        <v>1.0</v>
      </c>
      <c r="I209" s="37">
        <v>0.0</v>
      </c>
    </row>
    <row r="210">
      <c r="A210" s="34">
        <v>45866.0</v>
      </c>
      <c r="B210" s="35" t="s">
        <v>58</v>
      </c>
      <c r="C210" s="36">
        <v>158.9</v>
      </c>
      <c r="D210" s="35" t="s">
        <v>24</v>
      </c>
      <c r="E210" s="36">
        <v>0.0</v>
      </c>
      <c r="F210" s="35" t="s">
        <v>32</v>
      </c>
      <c r="G210" s="37">
        <v>1.0</v>
      </c>
      <c r="H210" s="37">
        <v>0.0</v>
      </c>
      <c r="I210" s="37">
        <v>0.0</v>
      </c>
    </row>
    <row r="211">
      <c r="A211" s="34">
        <v>45867.0</v>
      </c>
      <c r="B211" s="35" t="s">
        <v>59</v>
      </c>
      <c r="C211" s="36">
        <v>107.65</v>
      </c>
      <c r="D211" s="35" t="s">
        <v>27</v>
      </c>
      <c r="E211" s="36">
        <v>9500.0</v>
      </c>
      <c r="F211" s="35" t="s">
        <v>34</v>
      </c>
      <c r="G211" s="37">
        <v>1.0</v>
      </c>
      <c r="H211" s="37">
        <v>1.0</v>
      </c>
      <c r="I211" s="37">
        <v>1.0</v>
      </c>
    </row>
    <row r="212">
      <c r="A212" s="34">
        <v>45868.0</v>
      </c>
      <c r="B212" s="35" t="s">
        <v>23</v>
      </c>
      <c r="C212" s="36">
        <v>121.45</v>
      </c>
      <c r="D212" s="35" t="s">
        <v>24</v>
      </c>
      <c r="E212" s="36">
        <v>0.0</v>
      </c>
      <c r="F212" s="35" t="s">
        <v>25</v>
      </c>
      <c r="G212" s="37">
        <v>1.0</v>
      </c>
      <c r="H212" s="37">
        <v>0.0</v>
      </c>
      <c r="I212" s="37">
        <v>0.0</v>
      </c>
    </row>
    <row r="213">
      <c r="A213" s="34">
        <v>45869.0</v>
      </c>
      <c r="B213" s="35" t="s">
        <v>26</v>
      </c>
      <c r="C213" s="36">
        <v>89.99</v>
      </c>
      <c r="D213" s="35" t="s">
        <v>27</v>
      </c>
      <c r="E213" s="36">
        <v>8500.0</v>
      </c>
      <c r="F213" s="35" t="s">
        <v>28</v>
      </c>
      <c r="G213" s="37">
        <v>1.0</v>
      </c>
      <c r="H213" s="37">
        <v>1.0</v>
      </c>
      <c r="I213" s="37">
        <v>1.0</v>
      </c>
    </row>
    <row r="214">
      <c r="A214" s="34">
        <v>45870.0</v>
      </c>
      <c r="B214" s="35" t="s">
        <v>29</v>
      </c>
      <c r="C214" s="36">
        <v>154.3</v>
      </c>
      <c r="D214" s="35" t="s">
        <v>24</v>
      </c>
      <c r="E214" s="36">
        <v>0.0</v>
      </c>
      <c r="F214" s="35" t="s">
        <v>30</v>
      </c>
      <c r="G214" s="37">
        <v>1.0</v>
      </c>
      <c r="H214" s="37">
        <v>0.0</v>
      </c>
      <c r="I214" s="37">
        <v>0.0</v>
      </c>
    </row>
    <row r="215">
      <c r="A215" s="34">
        <v>45871.0</v>
      </c>
      <c r="B215" s="35" t="s">
        <v>31</v>
      </c>
      <c r="C215" s="36">
        <v>110.75</v>
      </c>
      <c r="D215" s="35" t="s">
        <v>27</v>
      </c>
      <c r="E215" s="36">
        <v>12500.0</v>
      </c>
      <c r="F215" s="35" t="s">
        <v>32</v>
      </c>
      <c r="G215" s="37">
        <v>1.0</v>
      </c>
      <c r="H215" s="37">
        <v>1.0</v>
      </c>
      <c r="I215" s="37">
        <v>1.0</v>
      </c>
    </row>
    <row r="216">
      <c r="A216" s="34">
        <v>45872.0</v>
      </c>
      <c r="B216" s="35" t="s">
        <v>33</v>
      </c>
      <c r="C216" s="36">
        <v>78.6</v>
      </c>
      <c r="D216" s="35" t="s">
        <v>24</v>
      </c>
      <c r="E216" s="36">
        <v>0.0</v>
      </c>
      <c r="F216" s="35" t="s">
        <v>34</v>
      </c>
      <c r="G216" s="37">
        <v>1.0</v>
      </c>
      <c r="H216" s="37">
        <v>0.0</v>
      </c>
      <c r="I216" s="37">
        <v>0.0</v>
      </c>
    </row>
    <row r="217">
      <c r="A217" s="34">
        <v>45873.0</v>
      </c>
      <c r="B217" s="35" t="s">
        <v>35</v>
      </c>
      <c r="C217" s="36">
        <v>135.2</v>
      </c>
      <c r="D217" s="35" t="s">
        <v>27</v>
      </c>
      <c r="E217" s="36">
        <v>0.0</v>
      </c>
      <c r="F217" s="35" t="s">
        <v>28</v>
      </c>
      <c r="G217" s="37">
        <v>1.0</v>
      </c>
      <c r="H217" s="37">
        <v>1.0</v>
      </c>
      <c r="I217" s="37">
        <v>0.0</v>
      </c>
    </row>
    <row r="218">
      <c r="A218" s="34">
        <v>45874.0</v>
      </c>
      <c r="B218" s="35" t="s">
        <v>36</v>
      </c>
      <c r="C218" s="36">
        <v>96.45</v>
      </c>
      <c r="D218" s="35" t="s">
        <v>24</v>
      </c>
      <c r="E218" s="36">
        <v>0.0</v>
      </c>
      <c r="F218" s="35" t="s">
        <v>25</v>
      </c>
      <c r="G218" s="37">
        <v>1.0</v>
      </c>
      <c r="H218" s="37">
        <v>0.0</v>
      </c>
      <c r="I218" s="37">
        <v>0.0</v>
      </c>
    </row>
    <row r="219">
      <c r="A219" s="34">
        <v>45875.0</v>
      </c>
      <c r="B219" s="35" t="s">
        <v>37</v>
      </c>
      <c r="C219" s="36">
        <v>142.8</v>
      </c>
      <c r="D219" s="35" t="s">
        <v>27</v>
      </c>
      <c r="E219" s="36">
        <v>9800.0</v>
      </c>
      <c r="F219" s="35" t="s">
        <v>30</v>
      </c>
      <c r="G219" s="37">
        <v>1.0</v>
      </c>
      <c r="H219" s="37">
        <v>1.0</v>
      </c>
      <c r="I219" s="37">
        <v>1.0</v>
      </c>
    </row>
    <row r="220">
      <c r="A220" s="34">
        <v>45876.0</v>
      </c>
      <c r="B220" s="35" t="s">
        <v>38</v>
      </c>
      <c r="C220" s="36">
        <v>105.9</v>
      </c>
      <c r="D220" s="35" t="s">
        <v>24</v>
      </c>
      <c r="E220" s="36">
        <v>0.0</v>
      </c>
      <c r="F220" s="35" t="s">
        <v>32</v>
      </c>
      <c r="G220" s="37">
        <v>1.0</v>
      </c>
      <c r="H220" s="37">
        <v>0.0</v>
      </c>
      <c r="I220" s="37">
        <v>0.0</v>
      </c>
    </row>
    <row r="221">
      <c r="A221" s="34">
        <v>45877.0</v>
      </c>
      <c r="B221" s="35" t="s">
        <v>39</v>
      </c>
      <c r="C221" s="36">
        <v>82.15</v>
      </c>
      <c r="D221" s="35" t="s">
        <v>27</v>
      </c>
      <c r="E221" s="36">
        <v>15200.0</v>
      </c>
      <c r="F221" s="35" t="s">
        <v>34</v>
      </c>
      <c r="G221" s="37">
        <v>1.0</v>
      </c>
      <c r="H221" s="37">
        <v>1.0</v>
      </c>
      <c r="I221" s="37">
        <v>1.0</v>
      </c>
    </row>
    <row r="222">
      <c r="A222" s="34">
        <v>45878.0</v>
      </c>
      <c r="B222" s="35" t="s">
        <v>40</v>
      </c>
      <c r="C222" s="36">
        <v>160.55</v>
      </c>
      <c r="D222" s="35" t="s">
        <v>24</v>
      </c>
      <c r="E222" s="36">
        <v>0.0</v>
      </c>
      <c r="F222" s="35" t="s">
        <v>25</v>
      </c>
      <c r="G222" s="37">
        <v>1.0</v>
      </c>
      <c r="H222" s="37">
        <v>0.0</v>
      </c>
      <c r="I222" s="37">
        <v>0.0</v>
      </c>
    </row>
    <row r="223">
      <c r="A223" s="34">
        <v>45879.0</v>
      </c>
      <c r="B223" s="35" t="s">
        <v>41</v>
      </c>
      <c r="C223" s="36">
        <v>92.3</v>
      </c>
      <c r="D223" s="35" t="s">
        <v>27</v>
      </c>
      <c r="E223" s="36">
        <v>7600.0</v>
      </c>
      <c r="F223" s="35" t="s">
        <v>28</v>
      </c>
      <c r="G223" s="37">
        <v>1.0</v>
      </c>
      <c r="H223" s="37">
        <v>1.0</v>
      </c>
      <c r="I223" s="37">
        <v>1.0</v>
      </c>
    </row>
    <row r="224">
      <c r="A224" s="34">
        <v>45880.0</v>
      </c>
      <c r="B224" s="35" t="s">
        <v>42</v>
      </c>
      <c r="C224" s="36">
        <v>128.7</v>
      </c>
      <c r="D224" s="35" t="s">
        <v>24</v>
      </c>
      <c r="E224" s="36">
        <v>0.0</v>
      </c>
      <c r="F224" s="35" t="s">
        <v>30</v>
      </c>
      <c r="G224" s="37">
        <v>1.0</v>
      </c>
      <c r="H224" s="37">
        <v>0.0</v>
      </c>
      <c r="I224" s="37">
        <v>0.0</v>
      </c>
    </row>
    <row r="225">
      <c r="A225" s="34">
        <v>45881.0</v>
      </c>
      <c r="B225" s="35" t="s">
        <v>43</v>
      </c>
      <c r="C225" s="36">
        <v>114.65</v>
      </c>
      <c r="D225" s="35" t="s">
        <v>27</v>
      </c>
      <c r="E225" s="36">
        <v>0.0</v>
      </c>
      <c r="F225" s="35" t="s">
        <v>32</v>
      </c>
      <c r="G225" s="37">
        <v>1.0</v>
      </c>
      <c r="H225" s="37">
        <v>1.0</v>
      </c>
      <c r="I225" s="37">
        <v>0.0</v>
      </c>
    </row>
    <row r="226">
      <c r="A226" s="34">
        <v>45882.0</v>
      </c>
      <c r="B226" s="35" t="s">
        <v>44</v>
      </c>
      <c r="C226" s="36">
        <v>85.25</v>
      </c>
      <c r="D226" s="35" t="s">
        <v>24</v>
      </c>
      <c r="E226" s="36">
        <v>0.0</v>
      </c>
      <c r="F226" s="35" t="s">
        <v>34</v>
      </c>
      <c r="G226" s="37">
        <v>1.0</v>
      </c>
      <c r="H226" s="37">
        <v>0.0</v>
      </c>
      <c r="I226" s="37">
        <v>0.0</v>
      </c>
    </row>
    <row r="227">
      <c r="A227" s="34">
        <v>45883.0</v>
      </c>
      <c r="B227" s="35" t="s">
        <v>45</v>
      </c>
      <c r="C227" s="36">
        <v>139.4</v>
      </c>
      <c r="D227" s="35" t="s">
        <v>27</v>
      </c>
      <c r="E227" s="36">
        <v>10300.0</v>
      </c>
      <c r="F227" s="35" t="s">
        <v>25</v>
      </c>
      <c r="G227" s="37">
        <v>1.0</v>
      </c>
      <c r="H227" s="37">
        <v>1.0</v>
      </c>
      <c r="I227" s="37">
        <v>1.0</v>
      </c>
    </row>
    <row r="228">
      <c r="A228" s="34">
        <v>45884.0</v>
      </c>
      <c r="B228" s="35" t="s">
        <v>46</v>
      </c>
      <c r="C228" s="36">
        <v>101.85</v>
      </c>
      <c r="D228" s="35" t="s">
        <v>24</v>
      </c>
      <c r="E228" s="36">
        <v>0.0</v>
      </c>
      <c r="F228" s="35" t="s">
        <v>28</v>
      </c>
      <c r="G228" s="37">
        <v>1.0</v>
      </c>
      <c r="H228" s="37">
        <v>0.0</v>
      </c>
      <c r="I228" s="37">
        <v>0.0</v>
      </c>
    </row>
    <row r="229">
      <c r="A229" s="34">
        <v>45885.0</v>
      </c>
      <c r="B229" s="35" t="s">
        <v>47</v>
      </c>
      <c r="C229" s="36">
        <v>98.75</v>
      </c>
      <c r="D229" s="35" t="s">
        <v>27</v>
      </c>
      <c r="E229" s="36">
        <v>14500.0</v>
      </c>
      <c r="F229" s="35" t="s">
        <v>30</v>
      </c>
      <c r="G229" s="37">
        <v>1.0</v>
      </c>
      <c r="H229" s="37">
        <v>1.0</v>
      </c>
      <c r="I229" s="37">
        <v>1.0</v>
      </c>
    </row>
    <row r="230">
      <c r="A230" s="34">
        <v>45886.0</v>
      </c>
      <c r="B230" s="35" t="s">
        <v>48</v>
      </c>
      <c r="C230" s="36">
        <v>150.2</v>
      </c>
      <c r="D230" s="35" t="s">
        <v>24</v>
      </c>
      <c r="E230" s="36">
        <v>0.0</v>
      </c>
      <c r="F230" s="35" t="s">
        <v>32</v>
      </c>
      <c r="G230" s="37">
        <v>1.0</v>
      </c>
      <c r="H230" s="37">
        <v>0.0</v>
      </c>
      <c r="I230" s="37">
        <v>0.0</v>
      </c>
    </row>
    <row r="231">
      <c r="A231" s="34">
        <v>45887.0</v>
      </c>
      <c r="B231" s="35" t="s">
        <v>49</v>
      </c>
      <c r="C231" s="36">
        <v>108.6</v>
      </c>
      <c r="D231" s="35" t="s">
        <v>27</v>
      </c>
      <c r="E231" s="36">
        <v>8200.0</v>
      </c>
      <c r="F231" s="35" t="s">
        <v>34</v>
      </c>
      <c r="G231" s="37">
        <v>1.0</v>
      </c>
      <c r="H231" s="37">
        <v>1.0</v>
      </c>
      <c r="I231" s="37">
        <v>1.0</v>
      </c>
    </row>
    <row r="232">
      <c r="A232" s="34">
        <v>45888.0</v>
      </c>
      <c r="B232" s="35" t="s">
        <v>50</v>
      </c>
      <c r="C232" s="36">
        <v>132.9</v>
      </c>
      <c r="D232" s="35" t="s">
        <v>24</v>
      </c>
      <c r="E232" s="36">
        <v>0.0</v>
      </c>
      <c r="F232" s="35" t="s">
        <v>25</v>
      </c>
      <c r="G232" s="37">
        <v>1.0</v>
      </c>
      <c r="H232" s="37">
        <v>0.0</v>
      </c>
      <c r="I232" s="37">
        <v>0.0</v>
      </c>
    </row>
    <row r="233">
      <c r="A233" s="34">
        <v>45889.0</v>
      </c>
      <c r="B233" s="35" t="s">
        <v>51</v>
      </c>
      <c r="C233" s="36">
        <v>124.15</v>
      </c>
      <c r="D233" s="35" t="s">
        <v>27</v>
      </c>
      <c r="E233" s="36">
        <v>0.0</v>
      </c>
      <c r="F233" s="35" t="s">
        <v>28</v>
      </c>
      <c r="G233" s="37">
        <v>1.0</v>
      </c>
      <c r="H233" s="37">
        <v>1.0</v>
      </c>
      <c r="I233" s="37">
        <v>0.0</v>
      </c>
    </row>
    <row r="234">
      <c r="A234" s="34">
        <v>45890.0</v>
      </c>
      <c r="B234" s="35" t="s">
        <v>52</v>
      </c>
      <c r="C234" s="36">
        <v>94.55</v>
      </c>
      <c r="D234" s="35" t="s">
        <v>24</v>
      </c>
      <c r="E234" s="36">
        <v>0.0</v>
      </c>
      <c r="F234" s="35" t="s">
        <v>30</v>
      </c>
      <c r="G234" s="37">
        <v>1.0</v>
      </c>
      <c r="H234" s="37">
        <v>0.0</v>
      </c>
      <c r="I234" s="37">
        <v>0.0</v>
      </c>
    </row>
    <row r="235">
      <c r="A235" s="34">
        <v>45891.0</v>
      </c>
      <c r="B235" s="35" t="s">
        <v>53</v>
      </c>
      <c r="C235" s="36">
        <v>118.35</v>
      </c>
      <c r="D235" s="35" t="s">
        <v>27</v>
      </c>
      <c r="E235" s="36">
        <v>11900.0</v>
      </c>
      <c r="F235" s="35" t="s">
        <v>32</v>
      </c>
      <c r="G235" s="37">
        <v>1.0</v>
      </c>
      <c r="H235" s="37">
        <v>1.0</v>
      </c>
      <c r="I235" s="37">
        <v>1.0</v>
      </c>
    </row>
    <row r="236">
      <c r="A236" s="34">
        <v>45892.0</v>
      </c>
      <c r="B236" s="35" t="s">
        <v>54</v>
      </c>
      <c r="C236" s="36">
        <v>104.8</v>
      </c>
      <c r="D236" s="35" t="s">
        <v>24</v>
      </c>
      <c r="E236" s="36">
        <v>0.0</v>
      </c>
      <c r="F236" s="35" t="s">
        <v>34</v>
      </c>
      <c r="G236" s="37">
        <v>1.0</v>
      </c>
      <c r="H236" s="37">
        <v>0.0</v>
      </c>
      <c r="I236" s="37">
        <v>0.0</v>
      </c>
    </row>
    <row r="237">
      <c r="A237" s="34">
        <v>45893.0</v>
      </c>
      <c r="B237" s="35" t="s">
        <v>55</v>
      </c>
      <c r="C237" s="36">
        <v>146.5</v>
      </c>
      <c r="D237" s="35" t="s">
        <v>27</v>
      </c>
      <c r="E237" s="36">
        <v>16800.0</v>
      </c>
      <c r="F237" s="35" t="s">
        <v>25</v>
      </c>
      <c r="G237" s="37">
        <v>1.0</v>
      </c>
      <c r="H237" s="37">
        <v>1.0</v>
      </c>
      <c r="I237" s="37">
        <v>1.0</v>
      </c>
    </row>
    <row r="238">
      <c r="A238" s="34">
        <v>45894.0</v>
      </c>
      <c r="B238" s="35" t="s">
        <v>56</v>
      </c>
      <c r="C238" s="36">
        <v>80.45</v>
      </c>
      <c r="D238" s="35" t="s">
        <v>24</v>
      </c>
      <c r="E238" s="36">
        <v>0.0</v>
      </c>
      <c r="F238" s="35" t="s">
        <v>28</v>
      </c>
      <c r="G238" s="37">
        <v>1.0</v>
      </c>
      <c r="H238" s="37">
        <v>0.0</v>
      </c>
      <c r="I238" s="37">
        <v>0.0</v>
      </c>
    </row>
    <row r="239">
      <c r="A239" s="34">
        <v>45895.0</v>
      </c>
      <c r="B239" s="35" t="s">
        <v>57</v>
      </c>
      <c r="C239" s="36">
        <v>112.25</v>
      </c>
      <c r="D239" s="35" t="s">
        <v>27</v>
      </c>
      <c r="E239" s="36">
        <v>0.0</v>
      </c>
      <c r="F239" s="35" t="s">
        <v>30</v>
      </c>
      <c r="G239" s="37">
        <v>1.0</v>
      </c>
      <c r="H239" s="37">
        <v>1.0</v>
      </c>
      <c r="I239" s="37">
        <v>0.0</v>
      </c>
    </row>
    <row r="240">
      <c r="A240" s="34">
        <v>45896.0</v>
      </c>
      <c r="B240" s="35" t="s">
        <v>58</v>
      </c>
      <c r="C240" s="36">
        <v>158.9</v>
      </c>
      <c r="D240" s="35" t="s">
        <v>24</v>
      </c>
      <c r="E240" s="36">
        <v>0.0</v>
      </c>
      <c r="F240" s="35" t="s">
        <v>32</v>
      </c>
      <c r="G240" s="37">
        <v>1.0</v>
      </c>
      <c r="H240" s="37">
        <v>0.0</v>
      </c>
      <c r="I240" s="37">
        <v>0.0</v>
      </c>
    </row>
    <row r="241">
      <c r="A241" s="34">
        <v>45897.0</v>
      </c>
      <c r="B241" s="35" t="s">
        <v>59</v>
      </c>
      <c r="C241" s="36">
        <v>107.65</v>
      </c>
      <c r="D241" s="35" t="s">
        <v>27</v>
      </c>
      <c r="E241" s="36">
        <v>9500.0</v>
      </c>
      <c r="F241" s="35" t="s">
        <v>34</v>
      </c>
      <c r="G241" s="37">
        <v>1.0</v>
      </c>
      <c r="H241" s="37">
        <v>1.0</v>
      </c>
      <c r="I241" s="37">
        <v>1.0</v>
      </c>
    </row>
    <row r="242">
      <c r="A242" s="34">
        <v>45898.0</v>
      </c>
      <c r="B242" s="35" t="s">
        <v>23</v>
      </c>
      <c r="C242" s="36">
        <v>121.45</v>
      </c>
      <c r="D242" s="35" t="s">
        <v>24</v>
      </c>
      <c r="E242" s="36">
        <v>0.0</v>
      </c>
      <c r="F242" s="35" t="s">
        <v>25</v>
      </c>
      <c r="G242" s="37">
        <v>1.0</v>
      </c>
      <c r="H242" s="37">
        <v>0.0</v>
      </c>
      <c r="I242" s="37">
        <v>0.0</v>
      </c>
    </row>
    <row r="243">
      <c r="A243" s="34">
        <v>45899.0</v>
      </c>
      <c r="B243" s="35" t="s">
        <v>26</v>
      </c>
      <c r="C243" s="36">
        <v>89.99</v>
      </c>
      <c r="D243" s="35" t="s">
        <v>27</v>
      </c>
      <c r="E243" s="36">
        <v>8500.0</v>
      </c>
      <c r="F243" s="35" t="s">
        <v>28</v>
      </c>
      <c r="G243" s="37">
        <v>1.0</v>
      </c>
      <c r="H243" s="37">
        <v>1.0</v>
      </c>
      <c r="I243" s="37">
        <v>1.0</v>
      </c>
    </row>
    <row r="244">
      <c r="A244" s="34">
        <v>45900.0</v>
      </c>
      <c r="B244" s="35" t="s">
        <v>29</v>
      </c>
      <c r="C244" s="36">
        <v>154.3</v>
      </c>
      <c r="D244" s="35" t="s">
        <v>24</v>
      </c>
      <c r="E244" s="36">
        <v>0.0</v>
      </c>
      <c r="F244" s="35" t="s">
        <v>30</v>
      </c>
      <c r="G244" s="37">
        <v>1.0</v>
      </c>
      <c r="H244" s="37">
        <v>0.0</v>
      </c>
      <c r="I244" s="37">
        <v>0.0</v>
      </c>
    </row>
    <row r="245">
      <c r="A245" s="34">
        <v>45901.0</v>
      </c>
      <c r="B245" s="35" t="s">
        <v>31</v>
      </c>
      <c r="C245" s="36">
        <v>110.75</v>
      </c>
      <c r="D245" s="35" t="s">
        <v>27</v>
      </c>
      <c r="E245" s="36">
        <v>12500.0</v>
      </c>
      <c r="F245" s="35" t="s">
        <v>32</v>
      </c>
      <c r="G245" s="37">
        <v>1.0</v>
      </c>
      <c r="H245" s="37">
        <v>1.0</v>
      </c>
      <c r="I245" s="37">
        <v>1.0</v>
      </c>
    </row>
    <row r="246">
      <c r="A246" s="34">
        <v>45902.0</v>
      </c>
      <c r="B246" s="35" t="s">
        <v>33</v>
      </c>
      <c r="C246" s="36">
        <v>78.6</v>
      </c>
      <c r="D246" s="35" t="s">
        <v>24</v>
      </c>
      <c r="E246" s="36">
        <v>0.0</v>
      </c>
      <c r="F246" s="35" t="s">
        <v>34</v>
      </c>
      <c r="G246" s="37">
        <v>1.0</v>
      </c>
      <c r="H246" s="37">
        <v>0.0</v>
      </c>
      <c r="I246" s="37">
        <v>0.0</v>
      </c>
    </row>
    <row r="247">
      <c r="A247" s="34">
        <v>45903.0</v>
      </c>
      <c r="B247" s="35" t="s">
        <v>35</v>
      </c>
      <c r="C247" s="36">
        <v>135.2</v>
      </c>
      <c r="D247" s="35" t="s">
        <v>27</v>
      </c>
      <c r="E247" s="36">
        <v>0.0</v>
      </c>
      <c r="F247" s="35" t="s">
        <v>28</v>
      </c>
      <c r="G247" s="37">
        <v>1.0</v>
      </c>
      <c r="H247" s="37">
        <v>1.0</v>
      </c>
      <c r="I247" s="37">
        <v>0.0</v>
      </c>
    </row>
    <row r="248">
      <c r="A248" s="34">
        <v>45904.0</v>
      </c>
      <c r="B248" s="35" t="s">
        <v>36</v>
      </c>
      <c r="C248" s="36">
        <v>96.45</v>
      </c>
      <c r="D248" s="35" t="s">
        <v>24</v>
      </c>
      <c r="E248" s="36">
        <v>0.0</v>
      </c>
      <c r="F248" s="35" t="s">
        <v>25</v>
      </c>
      <c r="G248" s="37">
        <v>1.0</v>
      </c>
      <c r="H248" s="37">
        <v>0.0</v>
      </c>
      <c r="I248" s="37">
        <v>0.0</v>
      </c>
    </row>
    <row r="249">
      <c r="A249" s="34">
        <v>45905.0</v>
      </c>
      <c r="B249" s="35" t="s">
        <v>37</v>
      </c>
      <c r="C249" s="36">
        <v>142.8</v>
      </c>
      <c r="D249" s="35" t="s">
        <v>27</v>
      </c>
      <c r="E249" s="36">
        <v>9800.0</v>
      </c>
      <c r="F249" s="35" t="s">
        <v>30</v>
      </c>
      <c r="G249" s="37">
        <v>1.0</v>
      </c>
      <c r="H249" s="37">
        <v>1.0</v>
      </c>
      <c r="I249" s="37">
        <v>1.0</v>
      </c>
    </row>
    <row r="250">
      <c r="A250" s="34">
        <v>45906.0</v>
      </c>
      <c r="B250" s="35" t="s">
        <v>38</v>
      </c>
      <c r="C250" s="36">
        <v>105.9</v>
      </c>
      <c r="D250" s="35" t="s">
        <v>24</v>
      </c>
      <c r="E250" s="36">
        <v>0.0</v>
      </c>
      <c r="F250" s="35" t="s">
        <v>32</v>
      </c>
      <c r="G250" s="37">
        <v>1.0</v>
      </c>
      <c r="H250" s="37">
        <v>0.0</v>
      </c>
      <c r="I250" s="37">
        <v>0.0</v>
      </c>
    </row>
    <row r="251">
      <c r="A251" s="34">
        <v>45907.0</v>
      </c>
      <c r="B251" s="35" t="s">
        <v>39</v>
      </c>
      <c r="C251" s="36">
        <v>82.15</v>
      </c>
      <c r="D251" s="35" t="s">
        <v>27</v>
      </c>
      <c r="E251" s="36">
        <v>15200.0</v>
      </c>
      <c r="F251" s="35" t="s">
        <v>34</v>
      </c>
      <c r="G251" s="37">
        <v>1.0</v>
      </c>
      <c r="H251" s="37">
        <v>1.0</v>
      </c>
      <c r="I251" s="37">
        <v>1.0</v>
      </c>
    </row>
    <row r="252">
      <c r="A252" s="34">
        <v>45908.0</v>
      </c>
      <c r="B252" s="35" t="s">
        <v>40</v>
      </c>
      <c r="C252" s="36">
        <v>160.55</v>
      </c>
      <c r="D252" s="35" t="s">
        <v>24</v>
      </c>
      <c r="E252" s="36">
        <v>0.0</v>
      </c>
      <c r="F252" s="35" t="s">
        <v>25</v>
      </c>
      <c r="G252" s="37">
        <v>1.0</v>
      </c>
      <c r="H252" s="37">
        <v>0.0</v>
      </c>
      <c r="I252" s="37">
        <v>0.0</v>
      </c>
    </row>
    <row r="253">
      <c r="A253" s="34">
        <v>45909.0</v>
      </c>
      <c r="B253" s="35" t="s">
        <v>41</v>
      </c>
      <c r="C253" s="36">
        <v>92.3</v>
      </c>
      <c r="D253" s="35" t="s">
        <v>27</v>
      </c>
      <c r="E253" s="36">
        <v>7600.0</v>
      </c>
      <c r="F253" s="35" t="s">
        <v>28</v>
      </c>
      <c r="G253" s="37">
        <v>1.0</v>
      </c>
      <c r="H253" s="37">
        <v>1.0</v>
      </c>
      <c r="I253" s="37">
        <v>1.0</v>
      </c>
    </row>
    <row r="254">
      <c r="A254" s="34">
        <v>45910.0</v>
      </c>
      <c r="B254" s="35" t="s">
        <v>42</v>
      </c>
      <c r="C254" s="36">
        <v>128.7</v>
      </c>
      <c r="D254" s="35" t="s">
        <v>24</v>
      </c>
      <c r="E254" s="36">
        <v>0.0</v>
      </c>
      <c r="F254" s="35" t="s">
        <v>30</v>
      </c>
      <c r="G254" s="37">
        <v>1.0</v>
      </c>
      <c r="H254" s="37">
        <v>0.0</v>
      </c>
      <c r="I254" s="37">
        <v>0.0</v>
      </c>
    </row>
    <row r="255">
      <c r="A255" s="34">
        <v>45911.0</v>
      </c>
      <c r="B255" s="35" t="s">
        <v>43</v>
      </c>
      <c r="C255" s="36">
        <v>114.65</v>
      </c>
      <c r="D255" s="35" t="s">
        <v>27</v>
      </c>
      <c r="E255" s="36">
        <v>0.0</v>
      </c>
      <c r="F255" s="35" t="s">
        <v>32</v>
      </c>
      <c r="G255" s="37">
        <v>1.0</v>
      </c>
      <c r="H255" s="37">
        <v>1.0</v>
      </c>
      <c r="I255" s="37">
        <v>0.0</v>
      </c>
    </row>
    <row r="256">
      <c r="A256" s="34">
        <v>45912.0</v>
      </c>
      <c r="B256" s="35" t="s">
        <v>44</v>
      </c>
      <c r="C256" s="36">
        <v>85.25</v>
      </c>
      <c r="D256" s="35" t="s">
        <v>24</v>
      </c>
      <c r="E256" s="36">
        <v>0.0</v>
      </c>
      <c r="F256" s="35" t="s">
        <v>34</v>
      </c>
      <c r="G256" s="37">
        <v>1.0</v>
      </c>
      <c r="H256" s="37">
        <v>0.0</v>
      </c>
      <c r="I256" s="37">
        <v>0.0</v>
      </c>
    </row>
    <row r="257">
      <c r="A257" s="34">
        <v>45913.0</v>
      </c>
      <c r="B257" s="35" t="s">
        <v>45</v>
      </c>
      <c r="C257" s="36">
        <v>139.4</v>
      </c>
      <c r="D257" s="35" t="s">
        <v>27</v>
      </c>
      <c r="E257" s="36">
        <v>10300.0</v>
      </c>
      <c r="F257" s="35" t="s">
        <v>25</v>
      </c>
      <c r="G257" s="37">
        <v>1.0</v>
      </c>
      <c r="H257" s="37">
        <v>1.0</v>
      </c>
      <c r="I257" s="37">
        <v>1.0</v>
      </c>
    </row>
    <row r="258">
      <c r="A258" s="34">
        <v>45914.0</v>
      </c>
      <c r="B258" s="35" t="s">
        <v>46</v>
      </c>
      <c r="C258" s="36">
        <v>101.85</v>
      </c>
      <c r="D258" s="35" t="s">
        <v>24</v>
      </c>
      <c r="E258" s="36">
        <v>0.0</v>
      </c>
      <c r="F258" s="35" t="s">
        <v>28</v>
      </c>
      <c r="G258" s="37">
        <v>1.0</v>
      </c>
      <c r="H258" s="37">
        <v>0.0</v>
      </c>
      <c r="I258" s="37">
        <v>0.0</v>
      </c>
    </row>
    <row r="259">
      <c r="A259" s="34">
        <v>45915.0</v>
      </c>
      <c r="B259" s="35" t="s">
        <v>47</v>
      </c>
      <c r="C259" s="36">
        <v>98.75</v>
      </c>
      <c r="D259" s="35" t="s">
        <v>27</v>
      </c>
      <c r="E259" s="36">
        <v>14500.0</v>
      </c>
      <c r="F259" s="35" t="s">
        <v>30</v>
      </c>
      <c r="G259" s="37">
        <v>1.0</v>
      </c>
      <c r="H259" s="37">
        <v>1.0</v>
      </c>
      <c r="I259" s="37">
        <v>1.0</v>
      </c>
    </row>
    <row r="260">
      <c r="A260" s="34">
        <v>45916.0</v>
      </c>
      <c r="B260" s="35" t="s">
        <v>48</v>
      </c>
      <c r="C260" s="36">
        <v>150.2</v>
      </c>
      <c r="D260" s="35" t="s">
        <v>24</v>
      </c>
      <c r="E260" s="36">
        <v>0.0</v>
      </c>
      <c r="F260" s="35" t="s">
        <v>32</v>
      </c>
      <c r="G260" s="37">
        <v>1.0</v>
      </c>
      <c r="H260" s="37">
        <v>0.0</v>
      </c>
      <c r="I260" s="37">
        <v>0.0</v>
      </c>
    </row>
    <row r="261">
      <c r="A261" s="34">
        <v>45917.0</v>
      </c>
      <c r="B261" s="35" t="s">
        <v>49</v>
      </c>
      <c r="C261" s="36">
        <v>108.6</v>
      </c>
      <c r="D261" s="35" t="s">
        <v>27</v>
      </c>
      <c r="E261" s="36">
        <v>8200.0</v>
      </c>
      <c r="F261" s="35" t="s">
        <v>34</v>
      </c>
      <c r="G261" s="37">
        <v>1.0</v>
      </c>
      <c r="H261" s="37">
        <v>1.0</v>
      </c>
      <c r="I261" s="37">
        <v>1.0</v>
      </c>
    </row>
    <row r="262">
      <c r="A262" s="34">
        <v>45918.0</v>
      </c>
      <c r="B262" s="35" t="s">
        <v>50</v>
      </c>
      <c r="C262" s="36">
        <v>132.9</v>
      </c>
      <c r="D262" s="35" t="s">
        <v>24</v>
      </c>
      <c r="E262" s="36">
        <v>0.0</v>
      </c>
      <c r="F262" s="35" t="s">
        <v>25</v>
      </c>
      <c r="G262" s="37">
        <v>1.0</v>
      </c>
      <c r="H262" s="37">
        <v>0.0</v>
      </c>
      <c r="I262" s="37">
        <v>0.0</v>
      </c>
    </row>
    <row r="263">
      <c r="A263" s="34">
        <v>45919.0</v>
      </c>
      <c r="B263" s="35" t="s">
        <v>51</v>
      </c>
      <c r="C263" s="36">
        <v>124.15</v>
      </c>
      <c r="D263" s="35" t="s">
        <v>27</v>
      </c>
      <c r="E263" s="36">
        <v>0.0</v>
      </c>
      <c r="F263" s="35" t="s">
        <v>28</v>
      </c>
      <c r="G263" s="37">
        <v>1.0</v>
      </c>
      <c r="H263" s="37">
        <v>1.0</v>
      </c>
      <c r="I263" s="37">
        <v>0.0</v>
      </c>
    </row>
    <row r="264">
      <c r="A264" s="34">
        <v>45920.0</v>
      </c>
      <c r="B264" s="35" t="s">
        <v>52</v>
      </c>
      <c r="C264" s="36">
        <v>94.55</v>
      </c>
      <c r="D264" s="35" t="s">
        <v>24</v>
      </c>
      <c r="E264" s="36">
        <v>0.0</v>
      </c>
      <c r="F264" s="35" t="s">
        <v>30</v>
      </c>
      <c r="G264" s="37">
        <v>1.0</v>
      </c>
      <c r="H264" s="37">
        <v>0.0</v>
      </c>
      <c r="I264" s="37">
        <v>0.0</v>
      </c>
    </row>
    <row r="265">
      <c r="A265" s="34">
        <v>45921.0</v>
      </c>
      <c r="B265" s="35" t="s">
        <v>53</v>
      </c>
      <c r="C265" s="36">
        <v>118.35</v>
      </c>
      <c r="D265" s="35" t="s">
        <v>27</v>
      </c>
      <c r="E265" s="36">
        <v>11900.0</v>
      </c>
      <c r="F265" s="35" t="s">
        <v>32</v>
      </c>
      <c r="G265" s="37">
        <v>1.0</v>
      </c>
      <c r="H265" s="37">
        <v>1.0</v>
      </c>
      <c r="I265" s="37">
        <v>1.0</v>
      </c>
    </row>
    <row r="266">
      <c r="A266" s="34">
        <v>45922.0</v>
      </c>
      <c r="B266" s="35" t="s">
        <v>54</v>
      </c>
      <c r="C266" s="36">
        <v>104.8</v>
      </c>
      <c r="D266" s="35" t="s">
        <v>24</v>
      </c>
      <c r="E266" s="36">
        <v>0.0</v>
      </c>
      <c r="F266" s="35" t="s">
        <v>34</v>
      </c>
      <c r="G266" s="37">
        <v>1.0</v>
      </c>
      <c r="H266" s="37">
        <v>0.0</v>
      </c>
      <c r="I266" s="37">
        <v>0.0</v>
      </c>
    </row>
    <row r="267">
      <c r="A267" s="34">
        <v>45923.0</v>
      </c>
      <c r="B267" s="35" t="s">
        <v>55</v>
      </c>
      <c r="C267" s="36">
        <v>146.5</v>
      </c>
      <c r="D267" s="35" t="s">
        <v>27</v>
      </c>
      <c r="E267" s="36">
        <v>16800.0</v>
      </c>
      <c r="F267" s="35" t="s">
        <v>25</v>
      </c>
      <c r="G267" s="37">
        <v>1.0</v>
      </c>
      <c r="H267" s="37">
        <v>1.0</v>
      </c>
      <c r="I267" s="37">
        <v>1.0</v>
      </c>
    </row>
    <row r="268">
      <c r="A268" s="34">
        <v>45924.0</v>
      </c>
      <c r="B268" s="35" t="s">
        <v>56</v>
      </c>
      <c r="C268" s="36">
        <v>80.45</v>
      </c>
      <c r="D268" s="35" t="s">
        <v>24</v>
      </c>
      <c r="E268" s="36">
        <v>0.0</v>
      </c>
      <c r="F268" s="35" t="s">
        <v>28</v>
      </c>
      <c r="G268" s="37">
        <v>1.0</v>
      </c>
      <c r="H268" s="37">
        <v>0.0</v>
      </c>
      <c r="I268" s="37">
        <v>0.0</v>
      </c>
    </row>
    <row r="269">
      <c r="A269" s="34">
        <v>45925.0</v>
      </c>
      <c r="B269" s="35" t="s">
        <v>57</v>
      </c>
      <c r="C269" s="36">
        <v>112.25</v>
      </c>
      <c r="D269" s="35" t="s">
        <v>27</v>
      </c>
      <c r="E269" s="36">
        <v>0.0</v>
      </c>
      <c r="F269" s="35" t="s">
        <v>30</v>
      </c>
      <c r="G269" s="37">
        <v>1.0</v>
      </c>
      <c r="H269" s="37">
        <v>1.0</v>
      </c>
      <c r="I269" s="37">
        <v>0.0</v>
      </c>
    </row>
    <row r="270">
      <c r="A270" s="34">
        <v>45926.0</v>
      </c>
      <c r="B270" s="35" t="s">
        <v>58</v>
      </c>
      <c r="C270" s="36">
        <v>158.9</v>
      </c>
      <c r="D270" s="35" t="s">
        <v>24</v>
      </c>
      <c r="E270" s="36">
        <v>0.0</v>
      </c>
      <c r="F270" s="35" t="s">
        <v>32</v>
      </c>
      <c r="G270" s="37">
        <v>1.0</v>
      </c>
      <c r="H270" s="37">
        <v>0.0</v>
      </c>
      <c r="I270" s="37">
        <v>0.0</v>
      </c>
    </row>
    <row r="271">
      <c r="A271" s="34">
        <v>45927.0</v>
      </c>
      <c r="B271" s="35" t="s">
        <v>59</v>
      </c>
      <c r="C271" s="36">
        <v>107.65</v>
      </c>
      <c r="D271" s="35" t="s">
        <v>27</v>
      </c>
      <c r="E271" s="36">
        <v>9500.0</v>
      </c>
      <c r="F271" s="35" t="s">
        <v>34</v>
      </c>
      <c r="G271" s="37">
        <v>1.0</v>
      </c>
      <c r="H271" s="37">
        <v>1.0</v>
      </c>
      <c r="I271" s="37">
        <v>1.0</v>
      </c>
    </row>
    <row r="272">
      <c r="A272" s="34">
        <v>45928.0</v>
      </c>
      <c r="B272" s="35" t="s">
        <v>23</v>
      </c>
      <c r="C272" s="36">
        <v>121.45</v>
      </c>
      <c r="D272" s="35" t="s">
        <v>24</v>
      </c>
      <c r="E272" s="36">
        <v>0.0</v>
      </c>
      <c r="F272" s="35" t="s">
        <v>25</v>
      </c>
      <c r="G272" s="37">
        <v>1.0</v>
      </c>
      <c r="H272" s="37">
        <v>0.0</v>
      </c>
      <c r="I272" s="37">
        <v>0.0</v>
      </c>
    </row>
    <row r="273">
      <c r="A273" s="34">
        <v>45929.0</v>
      </c>
      <c r="B273" s="35" t="s">
        <v>26</v>
      </c>
      <c r="C273" s="36">
        <v>89.99</v>
      </c>
      <c r="D273" s="35" t="s">
        <v>27</v>
      </c>
      <c r="E273" s="36">
        <v>8500.0</v>
      </c>
      <c r="F273" s="35" t="s">
        <v>28</v>
      </c>
      <c r="G273" s="37">
        <v>1.0</v>
      </c>
      <c r="H273" s="37">
        <v>1.0</v>
      </c>
      <c r="I273" s="37">
        <v>1.0</v>
      </c>
    </row>
    <row r="274">
      <c r="A274" s="34">
        <v>45930.0</v>
      </c>
      <c r="B274" s="35" t="s">
        <v>29</v>
      </c>
      <c r="C274" s="36">
        <v>154.3</v>
      </c>
      <c r="D274" s="35" t="s">
        <v>24</v>
      </c>
      <c r="E274" s="36">
        <v>0.0</v>
      </c>
      <c r="F274" s="35" t="s">
        <v>30</v>
      </c>
      <c r="G274" s="37">
        <v>1.0</v>
      </c>
      <c r="H274" s="37">
        <v>0.0</v>
      </c>
      <c r="I274" s="37">
        <v>0.0</v>
      </c>
    </row>
    <row r="275">
      <c r="A275" s="34">
        <v>45931.0</v>
      </c>
      <c r="B275" s="35" t="s">
        <v>31</v>
      </c>
      <c r="C275" s="36">
        <v>110.75</v>
      </c>
      <c r="D275" s="35" t="s">
        <v>27</v>
      </c>
      <c r="E275" s="36">
        <v>12500.0</v>
      </c>
      <c r="F275" s="35" t="s">
        <v>32</v>
      </c>
      <c r="G275" s="37">
        <v>1.0</v>
      </c>
      <c r="H275" s="37">
        <v>1.0</v>
      </c>
      <c r="I275" s="37">
        <v>1.0</v>
      </c>
    </row>
    <row r="276">
      <c r="A276" s="34">
        <v>45932.0</v>
      </c>
      <c r="B276" s="35" t="s">
        <v>33</v>
      </c>
      <c r="C276" s="36">
        <v>78.6</v>
      </c>
      <c r="D276" s="35" t="s">
        <v>24</v>
      </c>
      <c r="E276" s="36">
        <v>0.0</v>
      </c>
      <c r="F276" s="35" t="s">
        <v>34</v>
      </c>
      <c r="G276" s="37">
        <v>1.0</v>
      </c>
      <c r="H276" s="37">
        <v>0.0</v>
      </c>
      <c r="I276" s="37">
        <v>0.0</v>
      </c>
    </row>
    <row r="277">
      <c r="A277" s="34">
        <v>45933.0</v>
      </c>
      <c r="B277" s="35" t="s">
        <v>35</v>
      </c>
      <c r="C277" s="36">
        <v>135.2</v>
      </c>
      <c r="D277" s="35" t="s">
        <v>27</v>
      </c>
      <c r="E277" s="36">
        <v>0.0</v>
      </c>
      <c r="F277" s="35" t="s">
        <v>28</v>
      </c>
      <c r="G277" s="37">
        <v>1.0</v>
      </c>
      <c r="H277" s="37">
        <v>1.0</v>
      </c>
      <c r="I277" s="37">
        <v>0.0</v>
      </c>
    </row>
    <row r="278">
      <c r="A278" s="34">
        <v>45934.0</v>
      </c>
      <c r="B278" s="35" t="s">
        <v>36</v>
      </c>
      <c r="C278" s="36">
        <v>96.45</v>
      </c>
      <c r="D278" s="35" t="s">
        <v>24</v>
      </c>
      <c r="E278" s="36">
        <v>0.0</v>
      </c>
      <c r="F278" s="35" t="s">
        <v>25</v>
      </c>
      <c r="G278" s="37">
        <v>1.0</v>
      </c>
      <c r="H278" s="37">
        <v>0.0</v>
      </c>
      <c r="I278" s="37">
        <v>0.0</v>
      </c>
    </row>
    <row r="279">
      <c r="A279" s="34">
        <v>45935.0</v>
      </c>
      <c r="B279" s="35" t="s">
        <v>37</v>
      </c>
      <c r="C279" s="36">
        <v>142.8</v>
      </c>
      <c r="D279" s="35" t="s">
        <v>27</v>
      </c>
      <c r="E279" s="36">
        <v>9800.0</v>
      </c>
      <c r="F279" s="35" t="s">
        <v>30</v>
      </c>
      <c r="G279" s="37">
        <v>1.0</v>
      </c>
      <c r="H279" s="37">
        <v>1.0</v>
      </c>
      <c r="I279" s="37">
        <v>1.0</v>
      </c>
    </row>
    <row r="280">
      <c r="A280" s="34">
        <v>45936.0</v>
      </c>
      <c r="B280" s="35" t="s">
        <v>38</v>
      </c>
      <c r="C280" s="36">
        <v>105.9</v>
      </c>
      <c r="D280" s="35" t="s">
        <v>24</v>
      </c>
      <c r="E280" s="36">
        <v>0.0</v>
      </c>
      <c r="F280" s="35" t="s">
        <v>32</v>
      </c>
      <c r="G280" s="37">
        <v>1.0</v>
      </c>
      <c r="H280" s="37">
        <v>0.0</v>
      </c>
      <c r="I280" s="37">
        <v>0.0</v>
      </c>
    </row>
    <row r="281">
      <c r="A281" s="34">
        <v>45937.0</v>
      </c>
      <c r="B281" s="35" t="s">
        <v>39</v>
      </c>
      <c r="C281" s="36">
        <v>82.15</v>
      </c>
      <c r="D281" s="35" t="s">
        <v>27</v>
      </c>
      <c r="E281" s="36">
        <v>15200.0</v>
      </c>
      <c r="F281" s="35" t="s">
        <v>34</v>
      </c>
      <c r="G281" s="37">
        <v>1.0</v>
      </c>
      <c r="H281" s="37">
        <v>1.0</v>
      </c>
      <c r="I281" s="37">
        <v>1.0</v>
      </c>
    </row>
    <row r="282">
      <c r="A282" s="34">
        <v>45938.0</v>
      </c>
      <c r="B282" s="35" t="s">
        <v>40</v>
      </c>
      <c r="C282" s="36">
        <v>160.55</v>
      </c>
      <c r="D282" s="35" t="s">
        <v>24</v>
      </c>
      <c r="E282" s="36">
        <v>0.0</v>
      </c>
      <c r="F282" s="35" t="s">
        <v>25</v>
      </c>
      <c r="G282" s="37">
        <v>1.0</v>
      </c>
      <c r="H282" s="37">
        <v>0.0</v>
      </c>
      <c r="I282" s="37">
        <v>0.0</v>
      </c>
    </row>
    <row r="283">
      <c r="A283" s="34">
        <v>45939.0</v>
      </c>
      <c r="B283" s="35" t="s">
        <v>41</v>
      </c>
      <c r="C283" s="36">
        <v>92.3</v>
      </c>
      <c r="D283" s="35" t="s">
        <v>27</v>
      </c>
      <c r="E283" s="36">
        <v>7600.0</v>
      </c>
      <c r="F283" s="35" t="s">
        <v>28</v>
      </c>
      <c r="G283" s="37">
        <v>1.0</v>
      </c>
      <c r="H283" s="37">
        <v>1.0</v>
      </c>
      <c r="I283" s="37">
        <v>1.0</v>
      </c>
    </row>
    <row r="284">
      <c r="A284" s="38">
        <v>45940.0</v>
      </c>
      <c r="B284" s="35" t="s">
        <v>42</v>
      </c>
      <c r="C284" s="36">
        <v>128.7</v>
      </c>
      <c r="D284" s="35" t="s">
        <v>24</v>
      </c>
      <c r="E284" s="36">
        <v>0.0</v>
      </c>
      <c r="F284" s="35" t="s">
        <v>30</v>
      </c>
      <c r="G284" s="37">
        <v>1.0</v>
      </c>
      <c r="H284" s="37">
        <v>0.0</v>
      </c>
      <c r="I284" s="37">
        <v>0.0</v>
      </c>
    </row>
    <row r="285">
      <c r="A285" s="38">
        <v>45941.0</v>
      </c>
      <c r="B285" s="35" t="s">
        <v>43</v>
      </c>
      <c r="C285" s="36">
        <v>114.65</v>
      </c>
      <c r="D285" s="35" t="s">
        <v>27</v>
      </c>
      <c r="E285" s="36">
        <v>0.0</v>
      </c>
      <c r="F285" s="35" t="s">
        <v>32</v>
      </c>
      <c r="G285" s="37">
        <v>1.0</v>
      </c>
      <c r="H285" s="37">
        <v>1.0</v>
      </c>
      <c r="I285" s="37">
        <v>0.0</v>
      </c>
    </row>
    <row r="286">
      <c r="A286" s="38">
        <v>45942.0</v>
      </c>
      <c r="B286" s="35" t="s">
        <v>44</v>
      </c>
      <c r="C286" s="36">
        <v>85.25</v>
      </c>
      <c r="D286" s="35" t="s">
        <v>24</v>
      </c>
      <c r="E286" s="36">
        <v>0.0</v>
      </c>
      <c r="F286" s="35" t="s">
        <v>34</v>
      </c>
      <c r="G286" s="37">
        <v>1.0</v>
      </c>
      <c r="H286" s="37">
        <v>0.0</v>
      </c>
      <c r="I286" s="37">
        <v>0.0</v>
      </c>
    </row>
    <row r="287">
      <c r="A287" s="38">
        <v>45943.0</v>
      </c>
      <c r="B287" s="35" t="s">
        <v>45</v>
      </c>
      <c r="C287" s="36">
        <v>139.4</v>
      </c>
      <c r="D287" s="35" t="s">
        <v>27</v>
      </c>
      <c r="E287" s="36">
        <v>10300.0</v>
      </c>
      <c r="F287" s="35" t="s">
        <v>25</v>
      </c>
      <c r="G287" s="37">
        <v>1.0</v>
      </c>
      <c r="H287" s="37">
        <v>1.0</v>
      </c>
      <c r="I287" s="37">
        <v>1.0</v>
      </c>
    </row>
    <row r="288">
      <c r="A288" s="38">
        <v>45944.0</v>
      </c>
      <c r="B288" s="35" t="s">
        <v>46</v>
      </c>
      <c r="C288" s="36">
        <v>101.85</v>
      </c>
      <c r="D288" s="35" t="s">
        <v>24</v>
      </c>
      <c r="E288" s="36">
        <v>0.0</v>
      </c>
      <c r="F288" s="35" t="s">
        <v>28</v>
      </c>
      <c r="G288" s="37">
        <v>1.0</v>
      </c>
      <c r="H288" s="37">
        <v>0.0</v>
      </c>
      <c r="I288" s="37">
        <v>0.0</v>
      </c>
    </row>
    <row r="289">
      <c r="A289" s="38">
        <v>45945.0</v>
      </c>
      <c r="B289" s="35" t="s">
        <v>47</v>
      </c>
      <c r="C289" s="36">
        <v>98.75</v>
      </c>
      <c r="D289" s="35" t="s">
        <v>27</v>
      </c>
      <c r="E289" s="36">
        <v>14500.0</v>
      </c>
      <c r="F289" s="35" t="s">
        <v>30</v>
      </c>
      <c r="G289" s="37">
        <v>1.0</v>
      </c>
      <c r="H289" s="37">
        <v>1.0</v>
      </c>
      <c r="I289" s="37">
        <v>1.0</v>
      </c>
    </row>
    <row r="290">
      <c r="A290" s="38">
        <v>45946.0</v>
      </c>
      <c r="B290" s="35" t="s">
        <v>48</v>
      </c>
      <c r="C290" s="36">
        <v>150.2</v>
      </c>
      <c r="D290" s="35" t="s">
        <v>24</v>
      </c>
      <c r="E290" s="36">
        <v>0.0</v>
      </c>
      <c r="F290" s="35" t="s">
        <v>32</v>
      </c>
      <c r="G290" s="37">
        <v>1.0</v>
      </c>
      <c r="H290" s="37">
        <v>0.0</v>
      </c>
      <c r="I290" s="37">
        <v>0.0</v>
      </c>
    </row>
    <row r="291">
      <c r="A291" s="38">
        <v>45947.0</v>
      </c>
      <c r="B291" s="35" t="s">
        <v>49</v>
      </c>
      <c r="C291" s="36">
        <v>108.6</v>
      </c>
      <c r="D291" s="35" t="s">
        <v>27</v>
      </c>
      <c r="E291" s="36">
        <v>8200.0</v>
      </c>
      <c r="F291" s="35" t="s">
        <v>34</v>
      </c>
      <c r="G291" s="37">
        <v>1.0</v>
      </c>
      <c r="H291" s="37">
        <v>1.0</v>
      </c>
      <c r="I291" s="37">
        <v>1.0</v>
      </c>
    </row>
    <row r="292">
      <c r="A292" s="38">
        <v>45948.0</v>
      </c>
      <c r="B292" s="35" t="s">
        <v>50</v>
      </c>
      <c r="C292" s="36">
        <v>132.9</v>
      </c>
      <c r="D292" s="35" t="s">
        <v>24</v>
      </c>
      <c r="E292" s="36">
        <v>0.0</v>
      </c>
      <c r="F292" s="35" t="s">
        <v>25</v>
      </c>
      <c r="G292" s="37">
        <v>1.0</v>
      </c>
      <c r="H292" s="37">
        <v>0.0</v>
      </c>
      <c r="I292" s="37">
        <v>0.0</v>
      </c>
    </row>
    <row r="293">
      <c r="A293" s="38">
        <v>45949.0</v>
      </c>
      <c r="B293" s="35" t="s">
        <v>51</v>
      </c>
      <c r="C293" s="36">
        <v>124.15</v>
      </c>
      <c r="D293" s="35" t="s">
        <v>27</v>
      </c>
      <c r="E293" s="36">
        <v>0.0</v>
      </c>
      <c r="F293" s="35" t="s">
        <v>28</v>
      </c>
      <c r="G293" s="37">
        <v>1.0</v>
      </c>
      <c r="H293" s="37">
        <v>1.0</v>
      </c>
      <c r="I293" s="37">
        <v>0.0</v>
      </c>
    </row>
    <row r="294">
      <c r="A294" s="38">
        <v>45950.0</v>
      </c>
      <c r="B294" s="35" t="s">
        <v>52</v>
      </c>
      <c r="C294" s="36">
        <v>94.55</v>
      </c>
      <c r="D294" s="35" t="s">
        <v>24</v>
      </c>
      <c r="E294" s="36">
        <v>0.0</v>
      </c>
      <c r="F294" s="35" t="s">
        <v>30</v>
      </c>
      <c r="G294" s="37">
        <v>1.0</v>
      </c>
      <c r="H294" s="37">
        <v>0.0</v>
      </c>
      <c r="I294" s="37">
        <v>0.0</v>
      </c>
    </row>
    <row r="295">
      <c r="A295" s="38">
        <v>45951.0</v>
      </c>
      <c r="B295" s="35" t="s">
        <v>53</v>
      </c>
      <c r="C295" s="36">
        <v>118.35</v>
      </c>
      <c r="D295" s="35" t="s">
        <v>27</v>
      </c>
      <c r="E295" s="36">
        <v>11900.0</v>
      </c>
      <c r="F295" s="35" t="s">
        <v>32</v>
      </c>
      <c r="G295" s="37">
        <v>1.0</v>
      </c>
      <c r="H295" s="37">
        <v>1.0</v>
      </c>
      <c r="I295" s="37">
        <v>1.0</v>
      </c>
    </row>
    <row r="296">
      <c r="A296" s="38">
        <v>45952.0</v>
      </c>
      <c r="B296" s="35" t="s">
        <v>54</v>
      </c>
      <c r="C296" s="36">
        <v>104.8</v>
      </c>
      <c r="D296" s="35" t="s">
        <v>24</v>
      </c>
      <c r="E296" s="36">
        <v>0.0</v>
      </c>
      <c r="F296" s="35" t="s">
        <v>34</v>
      </c>
      <c r="G296" s="37">
        <v>1.0</v>
      </c>
      <c r="H296" s="37">
        <v>0.0</v>
      </c>
      <c r="I296" s="37">
        <v>0.0</v>
      </c>
    </row>
    <row r="297">
      <c r="A297" s="38">
        <v>45953.0</v>
      </c>
      <c r="B297" s="35" t="s">
        <v>55</v>
      </c>
      <c r="C297" s="36">
        <v>146.5</v>
      </c>
      <c r="D297" s="35" t="s">
        <v>27</v>
      </c>
      <c r="E297" s="36">
        <v>16800.0</v>
      </c>
      <c r="F297" s="35" t="s">
        <v>25</v>
      </c>
      <c r="G297" s="37">
        <v>1.0</v>
      </c>
      <c r="H297" s="37">
        <v>1.0</v>
      </c>
      <c r="I297" s="37">
        <v>1.0</v>
      </c>
    </row>
    <row r="298">
      <c r="A298" s="38">
        <v>45954.0</v>
      </c>
      <c r="B298" s="35" t="s">
        <v>56</v>
      </c>
      <c r="C298" s="36">
        <v>80.45</v>
      </c>
      <c r="D298" s="35" t="s">
        <v>24</v>
      </c>
      <c r="E298" s="36">
        <v>0.0</v>
      </c>
      <c r="F298" s="35" t="s">
        <v>28</v>
      </c>
      <c r="G298" s="37">
        <v>1.0</v>
      </c>
      <c r="H298" s="37">
        <v>0.0</v>
      </c>
      <c r="I298" s="37">
        <v>0.0</v>
      </c>
    </row>
    <row r="299">
      <c r="A299" s="38">
        <v>45955.0</v>
      </c>
      <c r="B299" s="35" t="s">
        <v>57</v>
      </c>
      <c r="C299" s="36">
        <v>112.25</v>
      </c>
      <c r="D299" s="35" t="s">
        <v>27</v>
      </c>
      <c r="E299" s="36">
        <v>0.0</v>
      </c>
      <c r="F299" s="35" t="s">
        <v>30</v>
      </c>
      <c r="G299" s="37">
        <v>1.0</v>
      </c>
      <c r="H299" s="37">
        <v>1.0</v>
      </c>
      <c r="I299" s="37">
        <v>0.0</v>
      </c>
    </row>
    <row r="300">
      <c r="A300" s="38">
        <v>45956.0</v>
      </c>
      <c r="B300" s="35" t="s">
        <v>58</v>
      </c>
      <c r="C300" s="36">
        <v>158.9</v>
      </c>
      <c r="D300" s="35" t="s">
        <v>24</v>
      </c>
      <c r="E300" s="36">
        <v>0.0</v>
      </c>
      <c r="F300" s="35" t="s">
        <v>32</v>
      </c>
      <c r="G300" s="37">
        <v>1.0</v>
      </c>
      <c r="H300" s="37">
        <v>0.0</v>
      </c>
      <c r="I300" s="37">
        <v>0.0</v>
      </c>
    </row>
    <row r="301">
      <c r="A301" s="38">
        <v>45957.0</v>
      </c>
      <c r="B301" s="35" t="s">
        <v>59</v>
      </c>
      <c r="C301" s="36">
        <v>107.65</v>
      </c>
      <c r="D301" s="35" t="s">
        <v>27</v>
      </c>
      <c r="E301" s="36">
        <v>9500.0</v>
      </c>
      <c r="F301" s="35" t="s">
        <v>34</v>
      </c>
      <c r="G301" s="37">
        <v>1.0</v>
      </c>
      <c r="H301" s="37">
        <v>1.0</v>
      </c>
      <c r="I301" s="37">
        <v>1.0</v>
      </c>
    </row>
    <row r="302">
      <c r="A302" s="38">
        <v>45958.0</v>
      </c>
      <c r="B302" s="35" t="s">
        <v>26</v>
      </c>
      <c r="C302" s="36">
        <v>89.99</v>
      </c>
      <c r="D302" s="35" t="s">
        <v>27</v>
      </c>
      <c r="E302" s="36">
        <v>8500.0</v>
      </c>
      <c r="F302" s="35" t="s">
        <v>28</v>
      </c>
      <c r="G302" s="37">
        <v>1.0</v>
      </c>
      <c r="H302" s="37">
        <v>1.0</v>
      </c>
      <c r="I302" s="37">
        <v>1.0</v>
      </c>
    </row>
    <row r="303">
      <c r="A303" s="38">
        <v>45959.0</v>
      </c>
      <c r="B303" s="35" t="s">
        <v>29</v>
      </c>
      <c r="C303" s="36">
        <v>154.3</v>
      </c>
      <c r="D303" s="35" t="s">
        <v>24</v>
      </c>
      <c r="E303" s="36">
        <v>0.0</v>
      </c>
      <c r="F303" s="35" t="s">
        <v>30</v>
      </c>
      <c r="G303" s="37">
        <v>1.0</v>
      </c>
      <c r="H303" s="37">
        <v>0.0</v>
      </c>
      <c r="I303" s="37">
        <v>0.0</v>
      </c>
    </row>
    <row r="304">
      <c r="A304" s="38">
        <v>45960.0</v>
      </c>
      <c r="B304" s="35" t="s">
        <v>31</v>
      </c>
      <c r="C304" s="36">
        <v>110.75</v>
      </c>
      <c r="D304" s="35" t="s">
        <v>27</v>
      </c>
      <c r="E304" s="36">
        <v>0.0</v>
      </c>
      <c r="F304" s="35" t="s">
        <v>32</v>
      </c>
      <c r="G304" s="37">
        <v>1.0</v>
      </c>
      <c r="H304" s="37">
        <v>1.0</v>
      </c>
      <c r="I304" s="37">
        <v>0.0</v>
      </c>
    </row>
    <row r="305">
      <c r="A305" s="38">
        <v>45961.0</v>
      </c>
      <c r="B305" s="35" t="s">
        <v>33</v>
      </c>
      <c r="C305" s="36">
        <v>78.6</v>
      </c>
      <c r="D305" s="35" t="s">
        <v>24</v>
      </c>
      <c r="E305" s="36">
        <v>0.0</v>
      </c>
      <c r="F305" s="35" t="s">
        <v>34</v>
      </c>
      <c r="G305" s="37">
        <v>1.0</v>
      </c>
      <c r="H305" s="37">
        <v>0.0</v>
      </c>
      <c r="I305" s="37">
        <v>0.0</v>
      </c>
    </row>
    <row r="306">
      <c r="A306" s="34">
        <v>45962.0</v>
      </c>
      <c r="B306" s="35" t="s">
        <v>35</v>
      </c>
      <c r="C306" s="36">
        <v>135.2</v>
      </c>
      <c r="D306" s="35" t="s">
        <v>27</v>
      </c>
      <c r="E306" s="36">
        <v>15000.0</v>
      </c>
      <c r="F306" s="35" t="s">
        <v>28</v>
      </c>
      <c r="G306" s="37">
        <v>1.0</v>
      </c>
      <c r="H306" s="37">
        <v>1.0</v>
      </c>
      <c r="I306" s="37">
        <v>1.0</v>
      </c>
    </row>
    <row r="307">
      <c r="A307" s="34">
        <v>45963.0</v>
      </c>
      <c r="B307" s="35" t="s">
        <v>36</v>
      </c>
      <c r="C307" s="36">
        <v>96.45</v>
      </c>
      <c r="D307" s="35" t="s">
        <v>24</v>
      </c>
      <c r="E307" s="36">
        <v>0.0</v>
      </c>
      <c r="F307" s="35" t="s">
        <v>25</v>
      </c>
      <c r="G307" s="37">
        <v>1.0</v>
      </c>
      <c r="H307" s="37">
        <v>0.0</v>
      </c>
      <c r="I307" s="37">
        <v>0.0</v>
      </c>
    </row>
    <row r="308">
      <c r="A308" s="34">
        <v>45964.0</v>
      </c>
      <c r="B308" s="35" t="s">
        <v>38</v>
      </c>
      <c r="C308" s="36">
        <v>105.9</v>
      </c>
      <c r="D308" s="35" t="s">
        <v>24</v>
      </c>
      <c r="E308" s="36">
        <v>0.0</v>
      </c>
      <c r="F308" s="35" t="s">
        <v>32</v>
      </c>
      <c r="G308" s="37">
        <v>1.0</v>
      </c>
      <c r="H308" s="37">
        <v>0.0</v>
      </c>
      <c r="I308" s="37">
        <v>0.0</v>
      </c>
    </row>
    <row r="309">
      <c r="A309" s="34">
        <v>45965.0</v>
      </c>
      <c r="B309" s="35" t="s">
        <v>39</v>
      </c>
      <c r="C309" s="36">
        <v>82.15</v>
      </c>
      <c r="D309" s="35" t="s">
        <v>27</v>
      </c>
      <c r="E309" s="36">
        <v>8200.0</v>
      </c>
      <c r="F309" s="35" t="s">
        <v>34</v>
      </c>
      <c r="G309" s="37">
        <v>1.0</v>
      </c>
      <c r="H309" s="37">
        <v>1.0</v>
      </c>
      <c r="I309" s="37">
        <v>1.0</v>
      </c>
    </row>
    <row r="310">
      <c r="A310" s="34">
        <v>45966.0</v>
      </c>
      <c r="B310" s="35" t="s">
        <v>40</v>
      </c>
      <c r="C310" s="36">
        <v>160.55</v>
      </c>
      <c r="D310" s="35" t="s">
        <v>27</v>
      </c>
      <c r="E310" s="36">
        <v>11400.0</v>
      </c>
      <c r="F310" s="35" t="s">
        <v>25</v>
      </c>
      <c r="G310" s="37">
        <v>1.0</v>
      </c>
      <c r="H310" s="37">
        <v>1.0</v>
      </c>
      <c r="I310" s="37">
        <v>1.0</v>
      </c>
    </row>
    <row r="311">
      <c r="A311" s="34">
        <v>45967.0</v>
      </c>
      <c r="B311" s="35" t="s">
        <v>41</v>
      </c>
      <c r="C311" s="36">
        <v>92.3</v>
      </c>
      <c r="D311" s="35" t="s">
        <v>24</v>
      </c>
      <c r="E311" s="36">
        <v>0.0</v>
      </c>
      <c r="F311" s="35" t="s">
        <v>28</v>
      </c>
      <c r="G311" s="37">
        <v>1.0</v>
      </c>
      <c r="H311" s="37">
        <v>0.0</v>
      </c>
      <c r="I311" s="37">
        <v>0.0</v>
      </c>
    </row>
    <row r="312">
      <c r="A312" s="34">
        <v>45968.0</v>
      </c>
      <c r="B312" s="35" t="s">
        <v>42</v>
      </c>
      <c r="C312" s="36">
        <v>128.7</v>
      </c>
      <c r="D312" s="35" t="s">
        <v>24</v>
      </c>
      <c r="E312" s="36">
        <v>0.0</v>
      </c>
      <c r="F312" s="35" t="s">
        <v>30</v>
      </c>
      <c r="G312" s="37">
        <v>1.0</v>
      </c>
      <c r="H312" s="37">
        <v>0.0</v>
      </c>
      <c r="I312" s="37">
        <v>0.0</v>
      </c>
    </row>
    <row r="313">
      <c r="A313" s="34">
        <v>45969.0</v>
      </c>
      <c r="B313" s="35" t="s">
        <v>43</v>
      </c>
      <c r="C313" s="36">
        <v>114.65</v>
      </c>
      <c r="D313" s="35" t="s">
        <v>27</v>
      </c>
      <c r="E313" s="36">
        <v>0.0</v>
      </c>
      <c r="F313" s="35" t="s">
        <v>32</v>
      </c>
      <c r="G313" s="37">
        <v>1.0</v>
      </c>
      <c r="H313" s="37">
        <v>1.0</v>
      </c>
      <c r="I313" s="37">
        <v>0.0</v>
      </c>
    </row>
    <row r="314">
      <c r="A314" s="34">
        <v>45970.0</v>
      </c>
      <c r="B314" s="35" t="s">
        <v>44</v>
      </c>
      <c r="C314" s="36">
        <v>85.25</v>
      </c>
      <c r="D314" s="35" t="s">
        <v>24</v>
      </c>
      <c r="E314" s="36">
        <v>0.0</v>
      </c>
      <c r="F314" s="35" t="s">
        <v>34</v>
      </c>
      <c r="G314" s="37">
        <v>1.0</v>
      </c>
      <c r="H314" s="37">
        <v>0.0</v>
      </c>
      <c r="I314" s="37">
        <v>0.0</v>
      </c>
    </row>
    <row r="315">
      <c r="A315" s="38">
        <v>45971.0</v>
      </c>
      <c r="B315" s="35" t="s">
        <v>45</v>
      </c>
      <c r="C315" s="36">
        <v>139.4</v>
      </c>
      <c r="D315" s="35" t="s">
        <v>27</v>
      </c>
      <c r="E315" s="36">
        <v>9600.0</v>
      </c>
      <c r="F315" s="35" t="s">
        <v>25</v>
      </c>
      <c r="G315" s="37">
        <v>1.0</v>
      </c>
      <c r="H315" s="37">
        <v>1.0</v>
      </c>
      <c r="I315" s="37">
        <v>1.0</v>
      </c>
    </row>
    <row r="316">
      <c r="A316" s="38">
        <v>45972.0</v>
      </c>
      <c r="B316" s="35" t="s">
        <v>46</v>
      </c>
      <c r="C316" s="36">
        <v>101.85</v>
      </c>
      <c r="D316" s="35" t="s">
        <v>24</v>
      </c>
      <c r="E316" s="36">
        <v>0.0</v>
      </c>
      <c r="F316" s="35" t="s">
        <v>28</v>
      </c>
      <c r="G316" s="37">
        <v>1.0</v>
      </c>
      <c r="H316" s="37">
        <v>0.0</v>
      </c>
      <c r="I316" s="37">
        <v>0.0</v>
      </c>
    </row>
    <row r="317">
      <c r="A317" s="38">
        <v>45973.0</v>
      </c>
      <c r="B317" s="35" t="s">
        <v>47</v>
      </c>
      <c r="C317" s="36">
        <v>98.75</v>
      </c>
      <c r="D317" s="35" t="s">
        <v>27</v>
      </c>
      <c r="E317" s="36">
        <v>12300.0</v>
      </c>
      <c r="F317" s="35" t="s">
        <v>30</v>
      </c>
      <c r="G317" s="37">
        <v>1.0</v>
      </c>
      <c r="H317" s="37">
        <v>1.0</v>
      </c>
      <c r="I317" s="37">
        <v>1.0</v>
      </c>
    </row>
    <row r="318">
      <c r="A318" s="38">
        <v>45974.0</v>
      </c>
      <c r="B318" s="35" t="s">
        <v>48</v>
      </c>
      <c r="C318" s="36">
        <v>150.2</v>
      </c>
      <c r="D318" s="35" t="s">
        <v>24</v>
      </c>
      <c r="E318" s="36">
        <v>0.0</v>
      </c>
      <c r="F318" s="35" t="s">
        <v>32</v>
      </c>
      <c r="G318" s="37">
        <v>1.0</v>
      </c>
      <c r="H318" s="37">
        <v>0.0</v>
      </c>
      <c r="I318" s="37">
        <v>0.0</v>
      </c>
    </row>
    <row r="319">
      <c r="A319" s="38">
        <v>45975.0</v>
      </c>
      <c r="B319" s="35" t="s">
        <v>49</v>
      </c>
      <c r="C319" s="36">
        <v>108.6</v>
      </c>
      <c r="D319" s="35" t="s">
        <v>24</v>
      </c>
      <c r="E319" s="36">
        <v>0.0</v>
      </c>
      <c r="F319" s="35" t="s">
        <v>34</v>
      </c>
      <c r="G319" s="37">
        <v>1.0</v>
      </c>
      <c r="H319" s="37">
        <v>0.0</v>
      </c>
      <c r="I319" s="37">
        <v>0.0</v>
      </c>
    </row>
    <row r="320">
      <c r="A320" s="38">
        <v>45976.0</v>
      </c>
      <c r="B320" s="35" t="s">
        <v>50</v>
      </c>
      <c r="C320" s="36">
        <v>132.9</v>
      </c>
      <c r="D320" s="35" t="s">
        <v>27</v>
      </c>
      <c r="E320" s="36">
        <v>0.0</v>
      </c>
      <c r="F320" s="35" t="s">
        <v>25</v>
      </c>
      <c r="G320" s="37">
        <v>1.0</v>
      </c>
      <c r="H320" s="37">
        <v>1.0</v>
      </c>
      <c r="I320" s="37">
        <v>0.0</v>
      </c>
    </row>
    <row r="321">
      <c r="A321" s="38">
        <v>45977.0</v>
      </c>
      <c r="B321" s="35" t="s">
        <v>51</v>
      </c>
      <c r="C321" s="36">
        <v>124.15</v>
      </c>
      <c r="D321" s="35" t="s">
        <v>27</v>
      </c>
      <c r="E321" s="36">
        <v>14500.0</v>
      </c>
      <c r="F321" s="35" t="s">
        <v>28</v>
      </c>
      <c r="G321" s="37">
        <v>1.0</v>
      </c>
      <c r="H321" s="37">
        <v>1.0</v>
      </c>
      <c r="I321" s="37">
        <v>1.0</v>
      </c>
    </row>
    <row r="322">
      <c r="A322" s="38">
        <v>45978.0</v>
      </c>
      <c r="B322" s="35" t="s">
        <v>52</v>
      </c>
      <c r="C322" s="36">
        <v>94.55</v>
      </c>
      <c r="D322" s="35" t="s">
        <v>24</v>
      </c>
      <c r="E322" s="36">
        <v>0.0</v>
      </c>
      <c r="F322" s="35" t="s">
        <v>30</v>
      </c>
      <c r="G322" s="37">
        <v>1.0</v>
      </c>
      <c r="H322" s="37">
        <v>0.0</v>
      </c>
      <c r="I322" s="37">
        <v>0.0</v>
      </c>
    </row>
    <row r="323">
      <c r="A323" s="38">
        <v>45979.0</v>
      </c>
      <c r="B323" s="35" t="s">
        <v>53</v>
      </c>
      <c r="C323" s="36">
        <v>118.35</v>
      </c>
      <c r="D323" s="35" t="s">
        <v>24</v>
      </c>
      <c r="E323" s="36">
        <v>0.0</v>
      </c>
      <c r="F323" s="35" t="s">
        <v>32</v>
      </c>
      <c r="G323" s="37">
        <v>1.0</v>
      </c>
      <c r="H323" s="37">
        <v>0.0</v>
      </c>
      <c r="I323" s="37">
        <v>0.0</v>
      </c>
    </row>
    <row r="324">
      <c r="A324" s="38">
        <v>45980.0</v>
      </c>
      <c r="B324" s="35" t="s">
        <v>54</v>
      </c>
      <c r="C324" s="36">
        <v>104.8</v>
      </c>
      <c r="D324" s="35" t="s">
        <v>27</v>
      </c>
      <c r="E324" s="36">
        <v>11000.0</v>
      </c>
      <c r="F324" s="35" t="s">
        <v>34</v>
      </c>
      <c r="G324" s="37">
        <v>1.0</v>
      </c>
      <c r="H324" s="37">
        <v>1.0</v>
      </c>
      <c r="I324" s="37">
        <v>1.0</v>
      </c>
    </row>
    <row r="325">
      <c r="A325" s="38">
        <v>45981.0</v>
      </c>
      <c r="B325" s="35" t="s">
        <v>55</v>
      </c>
      <c r="C325" s="36">
        <v>146.5</v>
      </c>
      <c r="D325" s="35" t="s">
        <v>24</v>
      </c>
      <c r="E325" s="36">
        <v>0.0</v>
      </c>
      <c r="F325" s="35" t="s">
        <v>25</v>
      </c>
      <c r="G325" s="37">
        <v>1.0</v>
      </c>
      <c r="H325" s="37">
        <v>0.0</v>
      </c>
      <c r="I325" s="37">
        <v>0.0</v>
      </c>
    </row>
    <row r="326">
      <c r="A326" s="38">
        <v>45982.0</v>
      </c>
      <c r="B326" s="35" t="s">
        <v>56</v>
      </c>
      <c r="C326" s="36">
        <v>80.45</v>
      </c>
      <c r="D326" s="35" t="s">
        <v>27</v>
      </c>
      <c r="E326" s="36">
        <v>8900.0</v>
      </c>
      <c r="F326" s="35" t="s">
        <v>28</v>
      </c>
      <c r="G326" s="37">
        <v>1.0</v>
      </c>
      <c r="H326" s="37">
        <v>1.0</v>
      </c>
      <c r="I326" s="37">
        <v>1.0</v>
      </c>
    </row>
    <row r="327">
      <c r="A327" s="38">
        <v>45983.0</v>
      </c>
      <c r="B327" s="35" t="s">
        <v>57</v>
      </c>
      <c r="C327" s="36">
        <v>112.25</v>
      </c>
      <c r="D327" s="35" t="s">
        <v>24</v>
      </c>
      <c r="E327" s="36">
        <v>0.0</v>
      </c>
      <c r="F327" s="35" t="s">
        <v>30</v>
      </c>
      <c r="G327" s="37">
        <v>1.0</v>
      </c>
      <c r="H327" s="37">
        <v>0.0</v>
      </c>
      <c r="I327" s="37">
        <v>0.0</v>
      </c>
    </row>
    <row r="328">
      <c r="A328" s="38">
        <v>45984.0</v>
      </c>
      <c r="B328" s="35" t="s">
        <v>58</v>
      </c>
      <c r="C328" s="36">
        <v>158.9</v>
      </c>
      <c r="D328" s="35" t="s">
        <v>24</v>
      </c>
      <c r="E328" s="36">
        <v>0.0</v>
      </c>
      <c r="F328" s="35" t="s">
        <v>32</v>
      </c>
      <c r="G328" s="37">
        <v>1.0</v>
      </c>
      <c r="H328" s="37">
        <v>0.0</v>
      </c>
      <c r="I328" s="37">
        <v>0.0</v>
      </c>
    </row>
    <row r="329">
      <c r="A329" s="38">
        <v>45985.0</v>
      </c>
      <c r="B329" s="35" t="s">
        <v>60</v>
      </c>
      <c r="C329" s="36">
        <v>129.55</v>
      </c>
      <c r="D329" s="35" t="s">
        <v>27</v>
      </c>
      <c r="E329" s="36">
        <v>0.0</v>
      </c>
      <c r="F329" s="35" t="s">
        <v>34</v>
      </c>
      <c r="G329" s="37">
        <v>1.0</v>
      </c>
      <c r="H329" s="37">
        <v>1.0</v>
      </c>
      <c r="I329" s="37">
        <v>0.0</v>
      </c>
    </row>
    <row r="330">
      <c r="A330" s="38">
        <v>45986.0</v>
      </c>
      <c r="B330" s="35" t="s">
        <v>61</v>
      </c>
      <c r="C330" s="36">
        <v>148.15</v>
      </c>
      <c r="D330" s="35" t="s">
        <v>27</v>
      </c>
      <c r="E330" s="36">
        <v>16200.0</v>
      </c>
      <c r="F330" s="35" t="s">
        <v>25</v>
      </c>
      <c r="G330" s="37">
        <v>1.0</v>
      </c>
      <c r="H330" s="37">
        <v>1.0</v>
      </c>
      <c r="I330" s="37">
        <v>1.0</v>
      </c>
    </row>
    <row r="331">
      <c r="A331" s="38">
        <v>45987.0</v>
      </c>
      <c r="B331" s="35" t="s">
        <v>62</v>
      </c>
      <c r="C331" s="36">
        <v>93.4</v>
      </c>
      <c r="D331" s="35" t="s">
        <v>24</v>
      </c>
      <c r="E331" s="36">
        <v>0.0</v>
      </c>
      <c r="F331" s="35" t="s">
        <v>28</v>
      </c>
      <c r="G331" s="37">
        <v>1.0</v>
      </c>
      <c r="H331" s="37">
        <v>0.0</v>
      </c>
      <c r="I331" s="37">
        <v>0.0</v>
      </c>
    </row>
    <row r="332">
      <c r="A332" s="38">
        <v>45988.0</v>
      </c>
      <c r="B332" s="35" t="s">
        <v>63</v>
      </c>
      <c r="C332" s="36">
        <v>116.9</v>
      </c>
      <c r="D332" s="35" t="s">
        <v>24</v>
      </c>
      <c r="E332" s="36">
        <v>0.0</v>
      </c>
      <c r="F332" s="35" t="s">
        <v>30</v>
      </c>
      <c r="G332" s="37">
        <v>1.0</v>
      </c>
      <c r="H332" s="37">
        <v>0.0</v>
      </c>
      <c r="I332" s="37">
        <v>0.0</v>
      </c>
    </row>
    <row r="333">
      <c r="A333" s="38">
        <v>45989.0</v>
      </c>
      <c r="B333" s="35" t="s">
        <v>64</v>
      </c>
      <c r="C333" s="36">
        <v>131.05</v>
      </c>
      <c r="D333" s="35" t="s">
        <v>27</v>
      </c>
      <c r="E333" s="36">
        <v>9100.0</v>
      </c>
      <c r="F333" s="35" t="s">
        <v>32</v>
      </c>
      <c r="G333" s="37">
        <v>1.0</v>
      </c>
      <c r="H333" s="37">
        <v>1.0</v>
      </c>
      <c r="I333" s="37">
        <v>1.0</v>
      </c>
    </row>
    <row r="334">
      <c r="A334" s="38">
        <v>45990.0</v>
      </c>
      <c r="B334" s="35" t="s">
        <v>65</v>
      </c>
      <c r="C334" s="36">
        <v>103.75</v>
      </c>
      <c r="D334" s="35" t="s">
        <v>24</v>
      </c>
      <c r="E334" s="36">
        <v>0.0</v>
      </c>
      <c r="F334" s="35" t="s">
        <v>34</v>
      </c>
      <c r="G334" s="37">
        <v>1.0</v>
      </c>
      <c r="H334" s="37">
        <v>0.0</v>
      </c>
      <c r="I334" s="37">
        <v>0.0</v>
      </c>
    </row>
    <row r="335">
      <c r="A335" s="38">
        <v>45991.0</v>
      </c>
      <c r="B335" s="35" t="s">
        <v>66</v>
      </c>
      <c r="C335" s="36">
        <v>141.3</v>
      </c>
      <c r="D335" s="35" t="s">
        <v>27</v>
      </c>
      <c r="E335" s="36">
        <v>13700.0</v>
      </c>
      <c r="F335" s="35" t="s">
        <v>25</v>
      </c>
      <c r="G335" s="37">
        <v>1.0</v>
      </c>
      <c r="H335" s="37">
        <v>1.0</v>
      </c>
      <c r="I335" s="37">
        <v>1.0</v>
      </c>
    </row>
    <row r="336">
      <c r="A336" s="34">
        <v>45992.0</v>
      </c>
      <c r="B336" s="35" t="s">
        <v>67</v>
      </c>
      <c r="C336" s="36">
        <v>84.8</v>
      </c>
      <c r="D336" s="35" t="s">
        <v>24</v>
      </c>
      <c r="E336" s="36">
        <v>0.0</v>
      </c>
      <c r="F336" s="35" t="s">
        <v>28</v>
      </c>
      <c r="G336" s="37">
        <v>1.0</v>
      </c>
      <c r="H336" s="37">
        <v>0.0</v>
      </c>
      <c r="I336" s="37">
        <v>0.0</v>
      </c>
    </row>
    <row r="337">
      <c r="A337" s="34">
        <v>45993.0</v>
      </c>
      <c r="B337" s="35" t="s">
        <v>68</v>
      </c>
      <c r="C337" s="36">
        <v>119.25</v>
      </c>
      <c r="D337" s="35" t="s">
        <v>27</v>
      </c>
      <c r="E337" s="36">
        <v>0.0</v>
      </c>
      <c r="F337" s="35" t="s">
        <v>30</v>
      </c>
      <c r="G337" s="37">
        <v>1.0</v>
      </c>
      <c r="H337" s="37">
        <v>1.0</v>
      </c>
      <c r="I337" s="37">
        <v>0.0</v>
      </c>
    </row>
    <row r="338">
      <c r="A338" s="34">
        <v>45994.0</v>
      </c>
      <c r="B338" s="35" t="s">
        <v>69</v>
      </c>
      <c r="C338" s="36">
        <v>153.65</v>
      </c>
      <c r="D338" s="35" t="s">
        <v>27</v>
      </c>
      <c r="E338" s="36">
        <v>10800.0</v>
      </c>
      <c r="F338" s="35" t="s">
        <v>32</v>
      </c>
      <c r="G338" s="37">
        <v>1.0</v>
      </c>
      <c r="H338" s="37">
        <v>1.0</v>
      </c>
      <c r="I338" s="37">
        <v>1.0</v>
      </c>
    </row>
    <row r="339">
      <c r="A339" s="34">
        <v>45995.0</v>
      </c>
      <c r="B339" s="35" t="s">
        <v>70</v>
      </c>
      <c r="C339" s="36">
        <v>109.4</v>
      </c>
      <c r="D339" s="35" t="s">
        <v>24</v>
      </c>
      <c r="E339" s="36">
        <v>0.0</v>
      </c>
      <c r="F339" s="35" t="s">
        <v>34</v>
      </c>
      <c r="G339" s="37">
        <v>1.0</v>
      </c>
      <c r="H339" s="37">
        <v>0.0</v>
      </c>
      <c r="I339" s="37">
        <v>0.0</v>
      </c>
    </row>
    <row r="340">
      <c r="A340" s="34">
        <v>45996.0</v>
      </c>
      <c r="B340" s="35" t="s">
        <v>71</v>
      </c>
      <c r="C340" s="36">
        <v>127.55</v>
      </c>
      <c r="D340" s="35" t="s">
        <v>24</v>
      </c>
      <c r="E340" s="36">
        <v>0.0</v>
      </c>
      <c r="F340" s="35" t="s">
        <v>25</v>
      </c>
      <c r="G340" s="37">
        <v>1.0</v>
      </c>
      <c r="H340" s="37">
        <v>0.0</v>
      </c>
      <c r="I340" s="37">
        <v>0.0</v>
      </c>
    </row>
    <row r="341">
      <c r="A341" s="34">
        <v>45997.0</v>
      </c>
      <c r="B341" s="35" t="s">
        <v>72</v>
      </c>
      <c r="C341" s="36">
        <v>95.2</v>
      </c>
      <c r="D341" s="35" t="s">
        <v>27</v>
      </c>
      <c r="E341" s="36">
        <v>15600.0</v>
      </c>
      <c r="F341" s="35" t="s">
        <v>28</v>
      </c>
      <c r="G341" s="37">
        <v>1.0</v>
      </c>
      <c r="H341" s="37">
        <v>1.0</v>
      </c>
      <c r="I341" s="37">
        <v>1.0</v>
      </c>
    </row>
    <row r="342">
      <c r="A342" s="34">
        <v>45998.0</v>
      </c>
      <c r="B342" s="35" t="s">
        <v>73</v>
      </c>
      <c r="C342" s="36">
        <v>143.95</v>
      </c>
      <c r="D342" s="35" t="s">
        <v>24</v>
      </c>
      <c r="E342" s="36">
        <v>0.0</v>
      </c>
      <c r="F342" s="35" t="s">
        <v>30</v>
      </c>
      <c r="G342" s="37">
        <v>1.0</v>
      </c>
      <c r="H342" s="37">
        <v>0.0</v>
      </c>
      <c r="I342" s="37">
        <v>0.0</v>
      </c>
    </row>
    <row r="343">
      <c r="A343" s="34">
        <v>45999.0</v>
      </c>
      <c r="B343" s="35" t="s">
        <v>74</v>
      </c>
      <c r="C343" s="36">
        <v>106.5</v>
      </c>
      <c r="D343" s="35" t="s">
        <v>27</v>
      </c>
      <c r="E343" s="36">
        <v>11200.0</v>
      </c>
      <c r="F343" s="35" t="s">
        <v>32</v>
      </c>
      <c r="G343" s="37">
        <v>1.0</v>
      </c>
      <c r="H343" s="37">
        <v>1.0</v>
      </c>
      <c r="I343" s="37">
        <v>1.0</v>
      </c>
    </row>
    <row r="344">
      <c r="A344" s="34">
        <v>46000.0</v>
      </c>
      <c r="B344" s="35" t="s">
        <v>75</v>
      </c>
      <c r="C344" s="36">
        <v>133.75</v>
      </c>
      <c r="D344" s="35" t="s">
        <v>24</v>
      </c>
      <c r="E344" s="36">
        <v>0.0</v>
      </c>
      <c r="F344" s="35" t="s">
        <v>34</v>
      </c>
      <c r="G344" s="37">
        <v>1.0</v>
      </c>
      <c r="H344" s="37">
        <v>0.0</v>
      </c>
      <c r="I344" s="37">
        <v>0.0</v>
      </c>
    </row>
    <row r="345">
      <c r="A345" s="38">
        <v>46001.0</v>
      </c>
      <c r="B345" s="35" t="s">
        <v>76</v>
      </c>
      <c r="C345" s="36">
        <v>115.1</v>
      </c>
      <c r="D345" s="35" t="s">
        <v>24</v>
      </c>
      <c r="E345" s="36">
        <v>0.0</v>
      </c>
      <c r="F345" s="35" t="s">
        <v>25</v>
      </c>
      <c r="G345" s="37">
        <v>1.0</v>
      </c>
      <c r="H345" s="37">
        <v>0.0</v>
      </c>
      <c r="I345" s="37">
        <v>0.0</v>
      </c>
    </row>
    <row r="346">
      <c r="A346" s="38">
        <v>46002.0</v>
      </c>
      <c r="B346" s="35" t="s">
        <v>77</v>
      </c>
      <c r="C346" s="36">
        <v>91.6</v>
      </c>
      <c r="D346" s="35" t="s">
        <v>27</v>
      </c>
      <c r="E346" s="36">
        <v>0.0</v>
      </c>
      <c r="F346" s="35" t="s">
        <v>28</v>
      </c>
      <c r="G346" s="37">
        <v>1.0</v>
      </c>
      <c r="H346" s="37">
        <v>1.0</v>
      </c>
      <c r="I346" s="37">
        <v>0.0</v>
      </c>
    </row>
    <row r="347">
      <c r="A347" s="38">
        <v>46003.0</v>
      </c>
      <c r="B347" s="35" t="s">
        <v>78</v>
      </c>
      <c r="C347" s="36">
        <v>157.3</v>
      </c>
      <c r="D347" s="35" t="s">
        <v>27</v>
      </c>
      <c r="E347" s="36">
        <v>9400.0</v>
      </c>
      <c r="F347" s="35" t="s">
        <v>30</v>
      </c>
      <c r="G347" s="37">
        <v>1.0</v>
      </c>
      <c r="H347" s="37">
        <v>1.0</v>
      </c>
      <c r="I347" s="37">
        <v>1.0</v>
      </c>
    </row>
    <row r="348">
      <c r="A348" s="38">
        <v>46004.0</v>
      </c>
      <c r="B348" s="35" t="s">
        <v>79</v>
      </c>
      <c r="C348" s="36">
        <v>123.85</v>
      </c>
      <c r="D348" s="35" t="s">
        <v>24</v>
      </c>
      <c r="E348" s="36">
        <v>0.0</v>
      </c>
      <c r="F348" s="35" t="s">
        <v>32</v>
      </c>
      <c r="G348" s="37">
        <v>1.0</v>
      </c>
      <c r="H348" s="37">
        <v>0.0</v>
      </c>
      <c r="I348" s="37">
        <v>0.0</v>
      </c>
    </row>
    <row r="349">
      <c r="A349" s="38">
        <v>46005.0</v>
      </c>
      <c r="B349" s="35" t="s">
        <v>80</v>
      </c>
      <c r="C349" s="36">
        <v>102.15</v>
      </c>
      <c r="D349" s="35" t="s">
        <v>24</v>
      </c>
      <c r="E349" s="36">
        <v>0.0</v>
      </c>
      <c r="F349" s="35" t="s">
        <v>34</v>
      </c>
      <c r="G349" s="37">
        <v>1.0</v>
      </c>
      <c r="H349" s="37">
        <v>0.0</v>
      </c>
      <c r="I349" s="37">
        <v>0.0</v>
      </c>
    </row>
    <row r="350">
      <c r="A350" s="38">
        <v>46006.0</v>
      </c>
      <c r="B350" s="35" t="s">
        <v>81</v>
      </c>
      <c r="C350" s="36">
        <v>145.5</v>
      </c>
      <c r="D350" s="35" t="s">
        <v>27</v>
      </c>
      <c r="E350" s="36">
        <v>14100.0</v>
      </c>
      <c r="F350" s="35" t="s">
        <v>25</v>
      </c>
      <c r="G350" s="37">
        <v>1.0</v>
      </c>
      <c r="H350" s="37">
        <v>1.0</v>
      </c>
      <c r="I350" s="37">
        <v>1.0</v>
      </c>
    </row>
    <row r="351">
      <c r="A351" s="38">
        <v>46007.0</v>
      </c>
      <c r="B351" s="35" t="s">
        <v>82</v>
      </c>
      <c r="C351" s="36">
        <v>97.35</v>
      </c>
      <c r="D351" s="35" t="s">
        <v>27</v>
      </c>
      <c r="E351" s="36">
        <v>8700.0</v>
      </c>
      <c r="F351" s="35" t="s">
        <v>28</v>
      </c>
      <c r="G351" s="37">
        <v>1.0</v>
      </c>
      <c r="H351" s="37">
        <v>1.0</v>
      </c>
      <c r="I351" s="37">
        <v>1.0</v>
      </c>
    </row>
    <row r="352">
      <c r="A352" s="38">
        <v>46008.0</v>
      </c>
      <c r="B352" s="35" t="s">
        <v>83</v>
      </c>
      <c r="C352" s="36">
        <v>130.9</v>
      </c>
      <c r="D352" s="35" t="s">
        <v>24</v>
      </c>
      <c r="E352" s="36">
        <v>0.0</v>
      </c>
      <c r="F352" s="35" t="s">
        <v>30</v>
      </c>
      <c r="G352" s="37">
        <v>1.0</v>
      </c>
      <c r="H352" s="37">
        <v>0.0</v>
      </c>
      <c r="I352" s="37">
        <v>0.0</v>
      </c>
    </row>
    <row r="353">
      <c r="A353" s="38">
        <v>46009.0</v>
      </c>
      <c r="B353" s="35" t="s">
        <v>84</v>
      </c>
      <c r="C353" s="36">
        <v>111.45</v>
      </c>
      <c r="D353" s="35" t="s">
        <v>24</v>
      </c>
      <c r="E353" s="36">
        <v>0.0</v>
      </c>
      <c r="F353" s="35" t="s">
        <v>32</v>
      </c>
      <c r="G353" s="37">
        <v>1.0</v>
      </c>
      <c r="H353" s="37">
        <v>0.0</v>
      </c>
      <c r="I353" s="37">
        <v>0.0</v>
      </c>
    </row>
    <row r="354">
      <c r="A354" s="38">
        <v>46010.0</v>
      </c>
      <c r="B354" s="35" t="s">
        <v>85</v>
      </c>
      <c r="C354" s="36">
        <v>87.2</v>
      </c>
      <c r="D354" s="35" t="s">
        <v>27</v>
      </c>
      <c r="E354" s="36">
        <v>0.0</v>
      </c>
      <c r="F354" s="35" t="s">
        <v>34</v>
      </c>
      <c r="G354" s="37">
        <v>1.0</v>
      </c>
      <c r="H354" s="37">
        <v>1.0</v>
      </c>
      <c r="I354" s="37">
        <v>0.0</v>
      </c>
    </row>
    <row r="355">
      <c r="A355" s="38">
        <v>46011.0</v>
      </c>
      <c r="B355" s="35" t="s">
        <v>86</v>
      </c>
      <c r="C355" s="36">
        <v>151.75</v>
      </c>
      <c r="D355" s="35" t="s">
        <v>27</v>
      </c>
      <c r="E355" s="36">
        <v>12900.0</v>
      </c>
      <c r="F355" s="35" t="s">
        <v>25</v>
      </c>
      <c r="G355" s="37">
        <v>1.0</v>
      </c>
      <c r="H355" s="37">
        <v>1.0</v>
      </c>
      <c r="I355" s="37">
        <v>1.0</v>
      </c>
    </row>
    <row r="356">
      <c r="A356" s="38">
        <v>46012.0</v>
      </c>
      <c r="B356" s="35" t="s">
        <v>87</v>
      </c>
      <c r="C356" s="36">
        <v>108.1</v>
      </c>
      <c r="D356" s="35" t="s">
        <v>24</v>
      </c>
      <c r="E356" s="36">
        <v>0.0</v>
      </c>
      <c r="F356" s="35" t="s">
        <v>28</v>
      </c>
      <c r="G356" s="37">
        <v>1.0</v>
      </c>
      <c r="H356" s="37">
        <v>0.0</v>
      </c>
      <c r="I356" s="37">
        <v>0.0</v>
      </c>
    </row>
    <row r="357">
      <c r="A357" s="38">
        <v>46013.0</v>
      </c>
      <c r="B357" s="35" t="s">
        <v>88</v>
      </c>
      <c r="C357" s="36">
        <v>122.55</v>
      </c>
      <c r="D357" s="35" t="s">
        <v>24</v>
      </c>
      <c r="E357" s="36">
        <v>0.0</v>
      </c>
      <c r="F357" s="35" t="s">
        <v>30</v>
      </c>
      <c r="G357" s="37">
        <v>1.0</v>
      </c>
      <c r="H357" s="37">
        <v>0.0</v>
      </c>
      <c r="I357" s="37">
        <v>0.0</v>
      </c>
    </row>
    <row r="358">
      <c r="A358" s="38">
        <v>46014.0</v>
      </c>
      <c r="B358" s="35" t="s">
        <v>89</v>
      </c>
      <c r="C358" s="36">
        <v>149.3</v>
      </c>
      <c r="D358" s="35" t="s">
        <v>27</v>
      </c>
      <c r="E358" s="36">
        <v>16500.0</v>
      </c>
      <c r="F358" s="35" t="s">
        <v>32</v>
      </c>
      <c r="G358" s="37">
        <v>1.0</v>
      </c>
      <c r="H358" s="37">
        <v>1.0</v>
      </c>
      <c r="I358" s="37">
        <v>1.0</v>
      </c>
    </row>
    <row r="359">
      <c r="A359" s="38">
        <v>46015.0</v>
      </c>
      <c r="B359" s="35" t="s">
        <v>90</v>
      </c>
      <c r="C359" s="36">
        <v>117.85</v>
      </c>
      <c r="D359" s="35" t="s">
        <v>24</v>
      </c>
      <c r="E359" s="36">
        <v>0.0</v>
      </c>
      <c r="F359" s="35" t="s">
        <v>34</v>
      </c>
      <c r="G359" s="37">
        <v>1.0</v>
      </c>
      <c r="H359" s="37">
        <v>0.0</v>
      </c>
      <c r="I359" s="37">
        <v>0.0</v>
      </c>
    </row>
    <row r="360">
      <c r="A360" s="38">
        <v>46016.0</v>
      </c>
      <c r="B360" s="35" t="s">
        <v>91</v>
      </c>
      <c r="C360" s="36">
        <v>92.6</v>
      </c>
      <c r="D360" s="35" t="s">
        <v>27</v>
      </c>
      <c r="E360" s="36">
        <v>10200.0</v>
      </c>
      <c r="F360" s="35" t="s">
        <v>25</v>
      </c>
      <c r="G360" s="37">
        <v>1.0</v>
      </c>
      <c r="H360" s="37">
        <v>1.0</v>
      </c>
      <c r="I360" s="37">
        <v>1.0</v>
      </c>
    </row>
    <row r="361">
      <c r="A361" s="38">
        <v>46017.0</v>
      </c>
      <c r="B361" s="35" t="s">
        <v>92</v>
      </c>
      <c r="C361" s="36">
        <v>138.25</v>
      </c>
      <c r="D361" s="35" t="s">
        <v>24</v>
      </c>
      <c r="E361" s="36">
        <v>0.0</v>
      </c>
      <c r="F361" s="35" t="s">
        <v>28</v>
      </c>
      <c r="G361" s="37">
        <v>1.0</v>
      </c>
      <c r="H361" s="37">
        <v>0.0</v>
      </c>
      <c r="I361" s="37">
        <v>0.0</v>
      </c>
    </row>
    <row r="362">
      <c r="A362" s="38">
        <v>46018.0</v>
      </c>
      <c r="B362" s="35" t="s">
        <v>93</v>
      </c>
      <c r="C362" s="36">
        <v>104.15</v>
      </c>
      <c r="D362" s="35" t="s">
        <v>24</v>
      </c>
      <c r="E362" s="36">
        <v>0.0</v>
      </c>
      <c r="F362" s="35" t="s">
        <v>30</v>
      </c>
      <c r="G362" s="37">
        <v>1.0</v>
      </c>
      <c r="H362" s="37">
        <v>0.0</v>
      </c>
      <c r="I362" s="37">
        <v>0.0</v>
      </c>
    </row>
    <row r="363">
      <c r="A363" s="38">
        <v>46019.0</v>
      </c>
      <c r="B363" s="35" t="s">
        <v>94</v>
      </c>
      <c r="C363" s="36">
        <v>126.9</v>
      </c>
      <c r="D363" s="35" t="s">
        <v>27</v>
      </c>
      <c r="E363" s="36">
        <v>0.0</v>
      </c>
      <c r="F363" s="35" t="s">
        <v>32</v>
      </c>
      <c r="G363" s="37">
        <v>1.0</v>
      </c>
      <c r="H363" s="37">
        <v>1.0</v>
      </c>
      <c r="I363" s="37">
        <v>0.0</v>
      </c>
    </row>
    <row r="364">
      <c r="A364" s="38">
        <v>46020.0</v>
      </c>
      <c r="B364" s="35" t="s">
        <v>95</v>
      </c>
      <c r="C364" s="36">
        <v>155.45</v>
      </c>
      <c r="D364" s="35" t="s">
        <v>27</v>
      </c>
      <c r="E364" s="36">
        <v>15300.0</v>
      </c>
      <c r="F364" s="35" t="s">
        <v>34</v>
      </c>
      <c r="G364" s="37">
        <v>1.0</v>
      </c>
      <c r="H364" s="37">
        <v>1.0</v>
      </c>
      <c r="I364" s="37">
        <v>1.0</v>
      </c>
    </row>
    <row r="365">
      <c r="A365" s="38">
        <v>46021.0</v>
      </c>
      <c r="B365" s="35" t="s">
        <v>96</v>
      </c>
      <c r="C365" s="36">
        <v>89.7</v>
      </c>
      <c r="D365" s="35" t="s">
        <v>24</v>
      </c>
      <c r="E365" s="36">
        <v>0.0</v>
      </c>
      <c r="F365" s="35" t="s">
        <v>25</v>
      </c>
      <c r="G365" s="37">
        <v>1.0</v>
      </c>
      <c r="H365" s="37">
        <v>0.0</v>
      </c>
      <c r="I365" s="37">
        <v>0.0</v>
      </c>
    </row>
    <row r="366">
      <c r="A366" s="38">
        <v>46022.0</v>
      </c>
      <c r="B366" s="35" t="s">
        <v>97</v>
      </c>
      <c r="C366" s="36">
        <v>134.55</v>
      </c>
      <c r="D366" s="35" t="s">
        <v>27</v>
      </c>
      <c r="E366" s="36">
        <v>11800.0</v>
      </c>
      <c r="F366" s="35" t="s">
        <v>28</v>
      </c>
      <c r="G366" s="37">
        <v>1.0</v>
      </c>
      <c r="H366" s="37">
        <v>1.0</v>
      </c>
      <c r="I366" s="37">
        <v>1.0</v>
      </c>
    </row>
    <row r="367">
      <c r="A367" s="38"/>
      <c r="B367" s="35"/>
      <c r="C367" s="36"/>
      <c r="D367" s="39"/>
      <c r="E367" s="36"/>
      <c r="F367" s="35"/>
      <c r="G367" s="37"/>
      <c r="H367" s="37"/>
      <c r="I367" s="37"/>
    </row>
    <row r="368">
      <c r="A368" s="36"/>
      <c r="B368" s="35"/>
      <c r="C368" s="36"/>
      <c r="D368" s="39"/>
      <c r="E368" s="36"/>
      <c r="F368" s="35"/>
      <c r="G368" s="37"/>
      <c r="H368" s="37"/>
      <c r="I368" s="37"/>
    </row>
    <row r="369">
      <c r="A369" s="36"/>
      <c r="B369" s="35"/>
      <c r="C369" s="36"/>
      <c r="D369" s="39"/>
      <c r="E369" s="36"/>
      <c r="F369" s="35"/>
      <c r="G369" s="37"/>
      <c r="H369" s="37"/>
      <c r="I369" s="37"/>
    </row>
    <row r="370">
      <c r="A370" s="36"/>
      <c r="B370" s="35"/>
      <c r="C370" s="36"/>
      <c r="D370" s="39"/>
      <c r="E370" s="36"/>
      <c r="F370" s="35"/>
      <c r="G370" s="37"/>
      <c r="H370" s="37"/>
      <c r="I370" s="37"/>
    </row>
    <row r="371">
      <c r="A371" s="38"/>
      <c r="B371" s="35"/>
      <c r="C371" s="36"/>
      <c r="D371" s="39"/>
      <c r="E371" s="36"/>
      <c r="F371" s="35"/>
      <c r="G371" s="37"/>
      <c r="H371" s="37"/>
      <c r="I371" s="37"/>
    </row>
    <row r="372">
      <c r="A372" s="36"/>
      <c r="B372" s="35"/>
      <c r="C372" s="36"/>
      <c r="D372" s="39"/>
      <c r="E372" s="36"/>
      <c r="F372" s="35"/>
      <c r="G372" s="37"/>
      <c r="H372" s="37"/>
      <c r="I372" s="37"/>
    </row>
    <row r="373">
      <c r="A373" s="36"/>
      <c r="B373" s="35"/>
      <c r="C373" s="36"/>
      <c r="D373" s="39"/>
      <c r="E373" s="36"/>
      <c r="F373" s="35"/>
      <c r="G373" s="37"/>
      <c r="H373" s="37"/>
      <c r="I373" s="37"/>
    </row>
    <row r="374">
      <c r="A374" s="38"/>
      <c r="B374" s="35"/>
      <c r="C374" s="36"/>
      <c r="D374" s="39"/>
      <c r="E374" s="36"/>
      <c r="F374" s="35"/>
      <c r="G374" s="37"/>
      <c r="H374" s="37"/>
      <c r="I374" s="37"/>
    </row>
    <row r="375">
      <c r="A375" s="38"/>
      <c r="B375" s="35"/>
      <c r="C375" s="36"/>
      <c r="D375" s="39"/>
      <c r="E375" s="36"/>
      <c r="F375" s="35"/>
      <c r="G375" s="37"/>
      <c r="H375" s="37"/>
      <c r="I375" s="37"/>
    </row>
    <row r="376">
      <c r="A376" s="36"/>
      <c r="B376" s="35"/>
      <c r="C376" s="36"/>
      <c r="D376" s="39"/>
      <c r="E376" s="36"/>
      <c r="F376" s="35"/>
      <c r="G376" s="37"/>
      <c r="H376" s="37"/>
      <c r="I376" s="37"/>
    </row>
    <row r="377">
      <c r="A377" s="36"/>
      <c r="B377" s="35"/>
      <c r="C377" s="36"/>
      <c r="D377" s="39"/>
      <c r="E377" s="36"/>
      <c r="F377" s="35"/>
      <c r="G377" s="37"/>
      <c r="H377" s="37"/>
      <c r="I377" s="37"/>
    </row>
    <row r="378">
      <c r="A378" s="38"/>
      <c r="B378" s="35"/>
      <c r="C378" s="36"/>
      <c r="D378" s="39"/>
      <c r="E378" s="36"/>
      <c r="F378" s="35"/>
      <c r="G378" s="37"/>
      <c r="H378" s="37"/>
      <c r="I378" s="37"/>
    </row>
    <row r="379">
      <c r="A379" s="38"/>
      <c r="B379" s="35"/>
      <c r="C379" s="36"/>
      <c r="D379" s="39"/>
      <c r="E379" s="36"/>
      <c r="F379" s="35"/>
      <c r="G379" s="37"/>
      <c r="H379" s="37"/>
      <c r="I379" s="37"/>
    </row>
    <row r="380">
      <c r="A380" s="36"/>
      <c r="B380" s="35"/>
      <c r="C380" s="36"/>
      <c r="D380" s="39"/>
      <c r="E380" s="36"/>
      <c r="F380" s="35"/>
      <c r="G380" s="37"/>
      <c r="H380" s="37"/>
      <c r="I380" s="37"/>
    </row>
    <row r="381">
      <c r="A381" s="36"/>
      <c r="B381" s="35"/>
      <c r="C381" s="36"/>
      <c r="D381" s="39"/>
      <c r="E381" s="36"/>
      <c r="F381" s="35"/>
      <c r="G381" s="37"/>
      <c r="H381" s="37"/>
      <c r="I381" s="37"/>
    </row>
    <row r="382">
      <c r="A382" s="38"/>
      <c r="B382" s="35"/>
      <c r="C382" s="36"/>
      <c r="D382" s="39"/>
      <c r="E382" s="36"/>
      <c r="F382" s="35"/>
      <c r="G382" s="37"/>
      <c r="H382" s="37"/>
      <c r="I382" s="37"/>
    </row>
    <row r="383">
      <c r="A383" s="36"/>
      <c r="B383" s="35"/>
      <c r="C383" s="36"/>
      <c r="D383" s="39"/>
      <c r="E383" s="36"/>
      <c r="F383" s="35"/>
      <c r="G383" s="37"/>
      <c r="H383" s="37"/>
      <c r="I383" s="37"/>
    </row>
    <row r="384">
      <c r="A384" s="36"/>
      <c r="B384" s="35"/>
      <c r="C384" s="36"/>
      <c r="D384" s="39"/>
      <c r="E384" s="36"/>
      <c r="F384" s="35"/>
      <c r="G384" s="37"/>
      <c r="H384" s="37"/>
      <c r="I384" s="37"/>
    </row>
    <row r="385">
      <c r="A385" s="38"/>
      <c r="B385" s="35"/>
      <c r="C385" s="36"/>
      <c r="D385" s="39"/>
      <c r="E385" s="36"/>
      <c r="F385" s="35"/>
      <c r="G385" s="37"/>
      <c r="H385" s="37"/>
      <c r="I385" s="37"/>
    </row>
    <row r="386">
      <c r="A386" s="38"/>
      <c r="B386" s="35"/>
      <c r="C386" s="36"/>
      <c r="D386" s="39"/>
      <c r="E386" s="36"/>
      <c r="F386" s="35"/>
      <c r="G386" s="37"/>
      <c r="H386" s="37"/>
      <c r="I386" s="37"/>
    </row>
    <row r="387">
      <c r="A387" s="36"/>
      <c r="B387" s="35"/>
      <c r="C387" s="36"/>
      <c r="D387" s="39"/>
      <c r="E387" s="36"/>
      <c r="F387" s="35"/>
      <c r="G387" s="37"/>
      <c r="H387" s="37"/>
      <c r="I387" s="37"/>
    </row>
    <row r="388">
      <c r="A388" s="36"/>
      <c r="B388" s="35"/>
      <c r="C388" s="36"/>
      <c r="D388" s="39"/>
      <c r="E388" s="36"/>
      <c r="F388" s="35"/>
      <c r="G388" s="37"/>
      <c r="H388" s="37"/>
      <c r="I388" s="37"/>
    </row>
    <row r="389">
      <c r="A389" s="38"/>
      <c r="B389" s="35"/>
      <c r="C389" s="36"/>
      <c r="D389" s="39"/>
      <c r="E389" s="36"/>
      <c r="F389" s="35"/>
      <c r="G389" s="37"/>
      <c r="H389" s="37"/>
      <c r="I389" s="37"/>
    </row>
    <row r="390">
      <c r="A390" s="38"/>
      <c r="B390" s="35"/>
      <c r="C390" s="36"/>
      <c r="D390" s="39"/>
      <c r="E390" s="36"/>
      <c r="F390" s="35"/>
      <c r="G390" s="37"/>
      <c r="H390" s="37"/>
      <c r="I390" s="37"/>
    </row>
    <row r="391">
      <c r="A391" s="36"/>
      <c r="B391" s="35"/>
      <c r="C391" s="36"/>
      <c r="D391" s="39"/>
      <c r="E391" s="36"/>
      <c r="F391" s="35"/>
      <c r="G391" s="37"/>
      <c r="H391" s="37"/>
      <c r="I391" s="37"/>
    </row>
    <row r="392">
      <c r="A392" s="36"/>
      <c r="B392" s="35"/>
      <c r="C392" s="36"/>
      <c r="D392" s="39"/>
      <c r="E392" s="36"/>
      <c r="F392" s="35"/>
      <c r="G392" s="37"/>
      <c r="H392" s="37"/>
      <c r="I392" s="37"/>
    </row>
    <row r="393">
      <c r="A393" s="38"/>
      <c r="B393" s="35"/>
      <c r="C393" s="36"/>
      <c r="D393" s="39"/>
      <c r="E393" s="36"/>
      <c r="F393" s="35"/>
      <c r="G393" s="37"/>
      <c r="H393" s="37"/>
      <c r="I393" s="37"/>
    </row>
    <row r="394">
      <c r="A394" s="38"/>
      <c r="B394" s="35"/>
      <c r="C394" s="36"/>
      <c r="D394" s="39"/>
      <c r="E394" s="36"/>
      <c r="F394" s="35"/>
      <c r="G394" s="37"/>
      <c r="H394" s="37"/>
      <c r="I394" s="37"/>
    </row>
    <row r="395">
      <c r="A395" s="36"/>
      <c r="B395" s="35"/>
      <c r="C395" s="36"/>
      <c r="D395" s="39"/>
      <c r="E395" s="36"/>
      <c r="F395" s="35"/>
      <c r="G395" s="37"/>
      <c r="H395" s="37"/>
      <c r="I395" s="37"/>
    </row>
    <row r="396">
      <c r="A396" s="36"/>
      <c r="B396" s="35"/>
      <c r="C396" s="36"/>
      <c r="D396" s="39"/>
      <c r="E396" s="36"/>
      <c r="F396" s="35"/>
      <c r="G396" s="37"/>
      <c r="H396" s="37"/>
      <c r="I396" s="37"/>
    </row>
    <row r="397">
      <c r="A397" s="38"/>
      <c r="B397" s="35"/>
      <c r="C397" s="36"/>
      <c r="D397" s="39"/>
      <c r="E397" s="36"/>
      <c r="F397" s="35"/>
      <c r="G397" s="37"/>
      <c r="H397" s="37"/>
      <c r="I397" s="37"/>
    </row>
    <row r="398">
      <c r="A398" s="36"/>
      <c r="B398" s="35"/>
      <c r="C398" s="36"/>
      <c r="D398" s="39"/>
      <c r="E398" s="36"/>
      <c r="F398" s="35"/>
      <c r="G398" s="37"/>
      <c r="H398" s="37"/>
      <c r="I398" s="37"/>
    </row>
    <row r="399">
      <c r="A399" s="36"/>
      <c r="B399" s="35"/>
      <c r="C399" s="36"/>
      <c r="D399" s="39"/>
      <c r="E399" s="36"/>
      <c r="F399" s="35"/>
      <c r="G399" s="37"/>
      <c r="H399" s="37"/>
      <c r="I399" s="37"/>
    </row>
    <row r="400">
      <c r="A400" s="36"/>
      <c r="B400" s="35"/>
      <c r="C400" s="36"/>
      <c r="D400" s="39"/>
      <c r="E400" s="36"/>
      <c r="F400" s="35"/>
      <c r="G400" s="37"/>
      <c r="H400" s="37"/>
      <c r="I400" s="37"/>
    </row>
    <row r="401">
      <c r="A401" s="38"/>
      <c r="B401" s="35"/>
      <c r="C401" s="36"/>
      <c r="D401" s="39"/>
      <c r="E401" s="36"/>
      <c r="F401" s="35"/>
      <c r="G401" s="37"/>
      <c r="H401" s="37"/>
      <c r="I401" s="37"/>
    </row>
    <row r="402">
      <c r="A402" s="36"/>
      <c r="B402" s="35"/>
      <c r="C402" s="36"/>
      <c r="D402" s="39"/>
      <c r="E402" s="36"/>
      <c r="F402" s="35"/>
      <c r="G402" s="37"/>
      <c r="H402" s="37"/>
      <c r="I402" s="37"/>
    </row>
    <row r="403">
      <c r="A403" s="36"/>
      <c r="B403" s="35"/>
      <c r="C403" s="36"/>
      <c r="D403" s="39"/>
      <c r="E403" s="36"/>
      <c r="F403" s="35"/>
      <c r="G403" s="37"/>
      <c r="H403" s="37"/>
      <c r="I403" s="37"/>
    </row>
    <row r="404">
      <c r="A404" s="36"/>
      <c r="B404" s="35"/>
      <c r="C404" s="36"/>
      <c r="D404" s="39"/>
      <c r="E404" s="36"/>
      <c r="F404" s="35"/>
      <c r="G404" s="37"/>
      <c r="H404" s="37"/>
      <c r="I404" s="37"/>
    </row>
    <row r="405">
      <c r="A405" s="38"/>
      <c r="B405" s="35"/>
      <c r="C405" s="36"/>
      <c r="D405" s="39"/>
      <c r="E405" s="36"/>
      <c r="F405" s="35"/>
      <c r="G405" s="37"/>
      <c r="H405" s="37"/>
      <c r="I405" s="37"/>
    </row>
    <row r="406">
      <c r="A406" s="36"/>
      <c r="B406" s="35"/>
      <c r="C406" s="36"/>
      <c r="D406" s="39"/>
      <c r="E406" s="36"/>
      <c r="F406" s="35"/>
      <c r="G406" s="37"/>
      <c r="H406" s="37"/>
      <c r="I406" s="37"/>
    </row>
    <row r="407">
      <c r="A407" s="36"/>
      <c r="B407" s="35"/>
      <c r="C407" s="36"/>
      <c r="D407" s="39"/>
      <c r="E407" s="36"/>
      <c r="F407" s="35"/>
      <c r="G407" s="37"/>
      <c r="H407" s="37"/>
      <c r="I407" s="37"/>
    </row>
    <row r="408">
      <c r="A408" s="38"/>
      <c r="B408" s="35"/>
      <c r="C408" s="36"/>
      <c r="D408" s="39"/>
      <c r="E408" s="36"/>
      <c r="F408" s="35"/>
      <c r="G408" s="37"/>
      <c r="H408" s="37"/>
      <c r="I408" s="37"/>
    </row>
    <row r="409">
      <c r="A409" s="38"/>
      <c r="B409" s="35"/>
      <c r="C409" s="36"/>
      <c r="D409" s="39"/>
      <c r="E409" s="36"/>
      <c r="F409" s="35"/>
      <c r="G409" s="37"/>
      <c r="H409" s="37"/>
      <c r="I409" s="37"/>
    </row>
    <row r="410">
      <c r="A410" s="36"/>
      <c r="B410" s="35"/>
      <c r="C410" s="36"/>
      <c r="D410" s="39"/>
      <c r="E410" s="36"/>
      <c r="F410" s="35"/>
      <c r="G410" s="37"/>
      <c r="H410" s="37"/>
      <c r="I410" s="37"/>
    </row>
    <row r="411">
      <c r="A411" s="36"/>
      <c r="B411" s="35"/>
      <c r="C411" s="36"/>
      <c r="D411" s="39"/>
      <c r="E411" s="36"/>
      <c r="F411" s="35"/>
      <c r="G411" s="37"/>
      <c r="H411" s="37"/>
      <c r="I411" s="37"/>
    </row>
    <row r="412">
      <c r="A412" s="38"/>
      <c r="B412" s="35"/>
      <c r="C412" s="36"/>
      <c r="D412" s="39"/>
      <c r="E412" s="36"/>
      <c r="F412" s="35"/>
      <c r="G412" s="37"/>
      <c r="H412" s="37"/>
      <c r="I412" s="37"/>
    </row>
    <row r="413">
      <c r="A413" s="38"/>
      <c r="B413" s="35"/>
      <c r="C413" s="36"/>
      <c r="D413" s="39"/>
      <c r="E413" s="36"/>
      <c r="F413" s="35"/>
      <c r="G413" s="37"/>
      <c r="H413" s="37"/>
      <c r="I413" s="37"/>
    </row>
    <row r="414">
      <c r="A414" s="36"/>
      <c r="B414" s="35"/>
      <c r="C414" s="36"/>
      <c r="D414" s="39"/>
      <c r="E414" s="36"/>
      <c r="F414" s="35"/>
      <c r="G414" s="37"/>
      <c r="H414" s="37"/>
      <c r="I414" s="37"/>
    </row>
    <row r="415">
      <c r="A415" s="36"/>
      <c r="B415" s="35"/>
      <c r="C415" s="36"/>
      <c r="D415" s="39"/>
      <c r="E415" s="36"/>
      <c r="F415" s="35"/>
      <c r="G415" s="37"/>
      <c r="H415" s="37"/>
      <c r="I415" s="37"/>
    </row>
    <row r="416">
      <c r="A416" s="38"/>
      <c r="B416" s="35"/>
      <c r="C416" s="36"/>
      <c r="D416" s="39"/>
      <c r="E416" s="36"/>
      <c r="F416" s="35"/>
      <c r="G416" s="37"/>
      <c r="H416" s="37"/>
      <c r="I416" s="37"/>
    </row>
    <row r="417">
      <c r="A417" s="36"/>
      <c r="B417" s="35"/>
      <c r="C417" s="36"/>
      <c r="D417" s="39"/>
      <c r="E417" s="36"/>
      <c r="F417" s="35"/>
      <c r="G417" s="37"/>
      <c r="H417" s="37"/>
      <c r="I417" s="37"/>
    </row>
    <row r="418">
      <c r="A418" s="36"/>
      <c r="B418" s="35"/>
      <c r="C418" s="36"/>
      <c r="D418" s="39"/>
      <c r="E418" s="36"/>
      <c r="F418" s="35"/>
      <c r="G418" s="37"/>
      <c r="H418" s="37"/>
      <c r="I418" s="37"/>
    </row>
    <row r="419">
      <c r="A419" s="38"/>
      <c r="B419" s="35"/>
      <c r="C419" s="36"/>
      <c r="D419" s="39"/>
      <c r="E419" s="36"/>
      <c r="F419" s="35"/>
      <c r="G419" s="37"/>
      <c r="H419" s="37"/>
      <c r="I419" s="37"/>
    </row>
    <row r="420">
      <c r="A420" s="38"/>
      <c r="B420" s="35"/>
      <c r="C420" s="36"/>
      <c r="D420" s="39"/>
      <c r="E420" s="36"/>
      <c r="F420" s="35"/>
      <c r="G420" s="37"/>
      <c r="H420" s="37"/>
      <c r="I420" s="37"/>
    </row>
    <row r="421">
      <c r="A421" s="36"/>
      <c r="B421" s="35"/>
      <c r="C421" s="36"/>
      <c r="D421" s="39"/>
      <c r="E421" s="36"/>
      <c r="F421" s="35"/>
      <c r="G421" s="37"/>
      <c r="H421" s="37"/>
      <c r="I421" s="37"/>
    </row>
    <row r="422">
      <c r="A422" s="36"/>
      <c r="B422" s="35"/>
      <c r="C422" s="36"/>
      <c r="D422" s="39"/>
      <c r="E422" s="36"/>
      <c r="F422" s="35"/>
      <c r="G422" s="37"/>
      <c r="H422" s="37"/>
      <c r="I422" s="37"/>
    </row>
    <row r="423">
      <c r="A423" s="38"/>
      <c r="B423" s="35"/>
      <c r="C423" s="36"/>
      <c r="D423" s="39"/>
      <c r="E423" s="36"/>
      <c r="F423" s="35"/>
      <c r="G423" s="37"/>
      <c r="H423" s="37"/>
      <c r="I423" s="37"/>
    </row>
    <row r="424">
      <c r="A424" s="38"/>
      <c r="B424" s="35"/>
      <c r="C424" s="36"/>
      <c r="D424" s="39"/>
      <c r="E424" s="36"/>
      <c r="F424" s="35"/>
      <c r="G424" s="37"/>
      <c r="H424" s="37"/>
      <c r="I424" s="37"/>
    </row>
    <row r="425">
      <c r="A425" s="36"/>
      <c r="B425" s="35"/>
      <c r="C425" s="36"/>
      <c r="D425" s="39"/>
      <c r="E425" s="36"/>
      <c r="F425" s="35"/>
      <c r="G425" s="37"/>
      <c r="H425" s="37"/>
      <c r="I425" s="37"/>
    </row>
    <row r="426">
      <c r="A426" s="36"/>
      <c r="B426" s="35"/>
      <c r="C426" s="36"/>
      <c r="D426" s="39"/>
      <c r="E426" s="36"/>
      <c r="F426" s="35"/>
      <c r="G426" s="37"/>
      <c r="H426" s="37"/>
      <c r="I426" s="37"/>
    </row>
    <row r="427">
      <c r="A427" s="38"/>
      <c r="B427" s="35"/>
      <c r="C427" s="36"/>
      <c r="D427" s="39"/>
      <c r="E427" s="36"/>
      <c r="F427" s="35"/>
      <c r="G427" s="37"/>
      <c r="H427" s="37"/>
      <c r="I427" s="37"/>
    </row>
    <row r="428">
      <c r="A428" s="38"/>
      <c r="B428" s="35"/>
      <c r="C428" s="36"/>
      <c r="D428" s="39"/>
      <c r="E428" s="36"/>
      <c r="F428" s="35"/>
      <c r="G428" s="37"/>
      <c r="H428" s="37"/>
      <c r="I428" s="37"/>
    </row>
    <row r="429">
      <c r="A429" s="36"/>
      <c r="B429" s="35"/>
      <c r="C429" s="36"/>
      <c r="D429" s="39"/>
      <c r="E429" s="36"/>
      <c r="F429" s="35"/>
      <c r="G429" s="37"/>
      <c r="H429" s="37"/>
      <c r="I429" s="37"/>
    </row>
    <row r="430">
      <c r="A430" s="36"/>
      <c r="B430" s="35"/>
      <c r="C430" s="36"/>
      <c r="D430" s="39"/>
      <c r="E430" s="36"/>
      <c r="F430" s="35"/>
      <c r="G430" s="37"/>
      <c r="H430" s="37"/>
      <c r="I430" s="37"/>
    </row>
    <row r="431">
      <c r="A431" s="38"/>
      <c r="B431" s="35"/>
      <c r="C431" s="36"/>
      <c r="D431" s="39"/>
      <c r="E431" s="36"/>
      <c r="F431" s="35"/>
      <c r="G431" s="37"/>
      <c r="H431" s="37"/>
      <c r="I431" s="37"/>
    </row>
    <row r="432">
      <c r="A432" s="36"/>
      <c r="B432" s="35"/>
      <c r="C432" s="36"/>
      <c r="D432" s="39"/>
      <c r="E432" s="36"/>
      <c r="F432" s="35"/>
      <c r="G432" s="37"/>
      <c r="H432" s="37"/>
      <c r="I432" s="37"/>
    </row>
    <row r="433">
      <c r="A433" s="36"/>
      <c r="B433" s="35"/>
      <c r="C433" s="36"/>
      <c r="D433" s="39"/>
      <c r="E433" s="36"/>
      <c r="F433" s="35"/>
      <c r="G433" s="37"/>
      <c r="H433" s="37"/>
      <c r="I433" s="37"/>
    </row>
    <row r="434">
      <c r="A434" s="36"/>
      <c r="B434" s="35"/>
      <c r="C434" s="36"/>
      <c r="D434" s="39"/>
      <c r="E434" s="36"/>
      <c r="F434" s="35"/>
      <c r="G434" s="37"/>
      <c r="H434" s="37"/>
      <c r="I434" s="37"/>
    </row>
    <row r="435">
      <c r="A435" s="38"/>
      <c r="B435" s="35"/>
      <c r="C435" s="36"/>
      <c r="D435" s="39"/>
      <c r="E435" s="36"/>
      <c r="F435" s="35"/>
      <c r="G435" s="37"/>
      <c r="H435" s="37"/>
      <c r="I435" s="37"/>
    </row>
    <row r="436">
      <c r="A436" s="36"/>
      <c r="B436" s="35"/>
      <c r="C436" s="36"/>
      <c r="D436" s="39"/>
      <c r="E436" s="36"/>
      <c r="F436" s="35"/>
      <c r="G436" s="37"/>
      <c r="H436" s="37"/>
      <c r="I436" s="37"/>
    </row>
    <row r="437">
      <c r="A437" s="36"/>
      <c r="B437" s="35"/>
      <c r="C437" s="36"/>
      <c r="D437" s="39"/>
      <c r="E437" s="36"/>
      <c r="F437" s="35"/>
      <c r="G437" s="37"/>
      <c r="H437" s="37"/>
      <c r="I437" s="37"/>
    </row>
    <row r="438">
      <c r="A438" s="38"/>
      <c r="B438" s="35"/>
      <c r="C438" s="36"/>
      <c r="D438" s="39"/>
      <c r="E438" s="36"/>
      <c r="F438" s="35"/>
      <c r="G438" s="37"/>
      <c r="H438" s="37"/>
      <c r="I438" s="37"/>
    </row>
    <row r="439">
      <c r="A439" s="38"/>
      <c r="B439" s="35"/>
      <c r="C439" s="36"/>
      <c r="D439" s="39"/>
      <c r="E439" s="36"/>
      <c r="F439" s="35"/>
      <c r="G439" s="37"/>
      <c r="H439" s="37"/>
      <c r="I439" s="37"/>
    </row>
    <row r="440">
      <c r="A440" s="36"/>
      <c r="B440" s="35"/>
      <c r="C440" s="36"/>
      <c r="D440" s="39"/>
      <c r="E440" s="36"/>
      <c r="F440" s="35"/>
      <c r="G440" s="37"/>
      <c r="H440" s="37"/>
      <c r="I440" s="37"/>
    </row>
    <row r="441">
      <c r="A441" s="36"/>
      <c r="B441" s="35"/>
      <c r="C441" s="36"/>
      <c r="D441" s="39"/>
      <c r="E441" s="36"/>
      <c r="F441" s="35"/>
      <c r="G441" s="37"/>
      <c r="H441" s="37"/>
      <c r="I441" s="37"/>
    </row>
    <row r="442">
      <c r="A442" s="38"/>
      <c r="B442" s="35"/>
      <c r="C442" s="36"/>
      <c r="D442" s="39"/>
      <c r="E442" s="36"/>
      <c r="F442" s="35"/>
      <c r="G442" s="37"/>
      <c r="H442" s="37"/>
      <c r="I442" s="37"/>
    </row>
    <row r="443">
      <c r="A443" s="38"/>
      <c r="B443" s="35"/>
      <c r="C443" s="36"/>
      <c r="D443" s="39"/>
      <c r="E443" s="36"/>
      <c r="F443" s="35"/>
      <c r="G443" s="37"/>
      <c r="H443" s="37"/>
      <c r="I443" s="37"/>
    </row>
    <row r="444">
      <c r="A444" s="36"/>
      <c r="B444" s="35"/>
      <c r="C444" s="36"/>
      <c r="D444" s="39"/>
      <c r="E444" s="36"/>
      <c r="F444" s="35"/>
      <c r="G444" s="37"/>
      <c r="H444" s="37"/>
      <c r="I444" s="37"/>
    </row>
    <row r="445">
      <c r="A445" s="36"/>
      <c r="B445" s="35"/>
      <c r="C445" s="36"/>
      <c r="D445" s="39"/>
      <c r="E445" s="36"/>
      <c r="F445" s="35"/>
      <c r="G445" s="37"/>
      <c r="H445" s="37"/>
      <c r="I445" s="37"/>
    </row>
    <row r="446">
      <c r="A446" s="38"/>
      <c r="B446" s="35"/>
      <c r="C446" s="36"/>
      <c r="D446" s="39"/>
      <c r="E446" s="36"/>
      <c r="F446" s="35"/>
      <c r="G446" s="37"/>
      <c r="H446" s="37"/>
      <c r="I446" s="37"/>
    </row>
    <row r="447">
      <c r="A447" s="38"/>
      <c r="B447" s="35"/>
      <c r="C447" s="36"/>
      <c r="D447" s="39"/>
      <c r="E447" s="36"/>
      <c r="F447" s="35"/>
      <c r="G447" s="37"/>
      <c r="H447" s="37"/>
      <c r="I447" s="37"/>
    </row>
    <row r="448">
      <c r="A448" s="36"/>
      <c r="B448" s="35"/>
      <c r="C448" s="36"/>
      <c r="D448" s="39"/>
      <c r="E448" s="36"/>
      <c r="F448" s="35"/>
      <c r="G448" s="37"/>
      <c r="H448" s="37"/>
      <c r="I448" s="37"/>
    </row>
    <row r="449">
      <c r="A449" s="36"/>
      <c r="B449" s="35"/>
      <c r="C449" s="36"/>
      <c r="D449" s="39"/>
      <c r="E449" s="36"/>
      <c r="F449" s="35"/>
      <c r="G449" s="37"/>
      <c r="H449" s="37"/>
      <c r="I449" s="37"/>
    </row>
    <row r="450">
      <c r="A450" s="38"/>
      <c r="B450" s="35"/>
      <c r="C450" s="36"/>
      <c r="D450" s="39"/>
      <c r="E450" s="36"/>
      <c r="F450" s="35"/>
      <c r="G450" s="37"/>
      <c r="H450" s="37"/>
      <c r="I450" s="37"/>
    </row>
    <row r="451">
      <c r="A451" s="36"/>
      <c r="B451" s="35"/>
      <c r="C451" s="36"/>
      <c r="D451" s="39"/>
      <c r="E451" s="36"/>
      <c r="F451" s="35"/>
      <c r="G451" s="37"/>
      <c r="H451" s="37"/>
      <c r="I451" s="37"/>
    </row>
    <row r="452">
      <c r="A452" s="36"/>
      <c r="B452" s="35"/>
      <c r="C452" s="36"/>
      <c r="D452" s="39"/>
      <c r="E452" s="36"/>
      <c r="F452" s="35"/>
      <c r="G452" s="37"/>
      <c r="H452" s="37"/>
      <c r="I452" s="37"/>
    </row>
    <row r="453">
      <c r="A453" s="36"/>
      <c r="B453" s="35"/>
      <c r="C453" s="36"/>
      <c r="D453" s="39"/>
      <c r="E453" s="36"/>
      <c r="F453" s="35"/>
      <c r="G453" s="37"/>
      <c r="H453" s="37"/>
      <c r="I453" s="37"/>
    </row>
    <row r="454">
      <c r="A454" s="38"/>
      <c r="B454" s="35"/>
      <c r="C454" s="36"/>
      <c r="D454" s="39"/>
      <c r="E454" s="36"/>
      <c r="F454" s="35"/>
      <c r="G454" s="37"/>
      <c r="H454" s="37"/>
      <c r="I454" s="37"/>
    </row>
    <row r="455">
      <c r="A455" s="36"/>
      <c r="B455" s="35"/>
      <c r="C455" s="36"/>
      <c r="D455" s="39"/>
      <c r="E455" s="36"/>
      <c r="F455" s="35"/>
      <c r="G455" s="37"/>
      <c r="H455" s="37"/>
      <c r="I455" s="37"/>
    </row>
    <row r="456">
      <c r="A456" s="36"/>
      <c r="B456" s="35"/>
      <c r="C456" s="36"/>
      <c r="D456" s="39"/>
      <c r="E456" s="36"/>
      <c r="F456" s="35"/>
      <c r="G456" s="37"/>
      <c r="H456" s="37"/>
      <c r="I456" s="37"/>
    </row>
    <row r="457">
      <c r="A457" s="36"/>
      <c r="B457" s="35"/>
      <c r="C457" s="36"/>
      <c r="D457" s="39"/>
      <c r="E457" s="36"/>
      <c r="F457" s="35"/>
      <c r="G457" s="37"/>
      <c r="H457" s="37"/>
      <c r="I457" s="37"/>
    </row>
    <row r="458">
      <c r="A458" s="38"/>
      <c r="B458" s="35"/>
      <c r="C458" s="36"/>
      <c r="D458" s="39"/>
      <c r="E458" s="36"/>
      <c r="F458" s="35"/>
      <c r="G458" s="37"/>
      <c r="H458" s="37"/>
      <c r="I458" s="37"/>
    </row>
    <row r="459">
      <c r="A459" s="36"/>
      <c r="B459" s="35"/>
      <c r="C459" s="36"/>
      <c r="D459" s="39"/>
      <c r="E459" s="36"/>
      <c r="F459" s="35"/>
      <c r="G459" s="37"/>
      <c r="H459" s="37"/>
      <c r="I459" s="37"/>
    </row>
    <row r="460">
      <c r="A460" s="36"/>
      <c r="B460" s="35"/>
      <c r="C460" s="36"/>
      <c r="D460" s="39"/>
      <c r="E460" s="36"/>
      <c r="F460" s="35"/>
      <c r="G460" s="37"/>
      <c r="H460" s="37"/>
      <c r="I460" s="37"/>
    </row>
    <row r="461">
      <c r="A461" s="38"/>
      <c r="B461" s="35"/>
      <c r="C461" s="36"/>
      <c r="D461" s="39"/>
      <c r="E461" s="36"/>
      <c r="F461" s="35"/>
      <c r="G461" s="37"/>
      <c r="H461" s="37"/>
      <c r="I461" s="37"/>
    </row>
    <row r="462">
      <c r="A462" s="38"/>
      <c r="B462" s="35"/>
      <c r="C462" s="36"/>
      <c r="D462" s="39"/>
      <c r="E462" s="36"/>
      <c r="F462" s="35"/>
      <c r="G462" s="37"/>
      <c r="H462" s="37"/>
      <c r="I462" s="37"/>
    </row>
    <row r="463">
      <c r="A463" s="36"/>
      <c r="B463" s="35"/>
      <c r="C463" s="36"/>
      <c r="D463" s="39"/>
      <c r="E463" s="36"/>
      <c r="F463" s="35"/>
      <c r="G463" s="37"/>
      <c r="H463" s="37"/>
      <c r="I463" s="37"/>
    </row>
    <row r="464">
      <c r="A464" s="36"/>
      <c r="B464" s="35"/>
      <c r="C464" s="36"/>
      <c r="D464" s="39"/>
      <c r="E464" s="36"/>
      <c r="F464" s="35"/>
      <c r="G464" s="37"/>
      <c r="H464" s="37"/>
      <c r="I464" s="37"/>
    </row>
    <row r="465">
      <c r="A465" s="38"/>
      <c r="B465" s="35"/>
      <c r="C465" s="36"/>
      <c r="D465" s="39"/>
      <c r="E465" s="36"/>
      <c r="F465" s="35"/>
      <c r="G465" s="37"/>
      <c r="H465" s="37"/>
      <c r="I465" s="37"/>
    </row>
    <row r="466">
      <c r="A466" s="36"/>
      <c r="B466" s="35"/>
      <c r="C466" s="36"/>
      <c r="D466" s="39"/>
      <c r="E466" s="36"/>
      <c r="F466" s="35"/>
      <c r="G466" s="37"/>
      <c r="H466" s="37"/>
      <c r="I466" s="37"/>
    </row>
    <row r="467">
      <c r="A467" s="36"/>
      <c r="B467" s="35"/>
      <c r="C467" s="36"/>
      <c r="D467" s="39"/>
      <c r="E467" s="36"/>
      <c r="F467" s="35"/>
      <c r="G467" s="37"/>
      <c r="H467" s="37"/>
      <c r="I467" s="37"/>
    </row>
    <row r="468">
      <c r="A468" s="36"/>
      <c r="B468" s="35"/>
      <c r="C468" s="36"/>
      <c r="D468" s="39"/>
      <c r="E468" s="36"/>
      <c r="F468" s="35"/>
      <c r="G468" s="37"/>
      <c r="H468" s="37"/>
      <c r="I468" s="37"/>
    </row>
    <row r="469">
      <c r="A469" s="38"/>
      <c r="B469" s="35"/>
      <c r="C469" s="36"/>
      <c r="D469" s="39"/>
      <c r="E469" s="36"/>
      <c r="F469" s="35"/>
      <c r="G469" s="37"/>
      <c r="H469" s="37"/>
      <c r="I469" s="37"/>
    </row>
    <row r="470">
      <c r="A470" s="36"/>
      <c r="B470" s="35"/>
      <c r="C470" s="36"/>
      <c r="D470" s="39"/>
      <c r="E470" s="36"/>
      <c r="F470" s="35"/>
      <c r="G470" s="37"/>
      <c r="H470" s="37"/>
      <c r="I470" s="37"/>
    </row>
    <row r="471">
      <c r="A471" s="36"/>
      <c r="B471" s="35"/>
      <c r="C471" s="36"/>
      <c r="D471" s="39"/>
      <c r="E471" s="36"/>
      <c r="F471" s="35"/>
      <c r="G471" s="37"/>
      <c r="H471" s="37"/>
      <c r="I471" s="37"/>
    </row>
    <row r="472">
      <c r="A472" s="38"/>
      <c r="B472" s="35"/>
      <c r="C472" s="36"/>
      <c r="D472" s="39"/>
      <c r="E472" s="36"/>
      <c r="F472" s="35"/>
      <c r="G472" s="37"/>
      <c r="H472" s="37"/>
      <c r="I472" s="37"/>
    </row>
    <row r="473">
      <c r="A473" s="38"/>
      <c r="B473" s="35"/>
      <c r="C473" s="36"/>
      <c r="D473" s="39"/>
      <c r="E473" s="36"/>
      <c r="F473" s="35"/>
      <c r="G473" s="37"/>
      <c r="H473" s="37"/>
      <c r="I473" s="37"/>
    </row>
    <row r="474">
      <c r="A474" s="36"/>
      <c r="B474" s="35"/>
      <c r="C474" s="36"/>
      <c r="D474" s="39"/>
      <c r="E474" s="36"/>
      <c r="F474" s="35"/>
      <c r="G474" s="37"/>
      <c r="H474" s="37"/>
      <c r="I474" s="37"/>
    </row>
    <row r="475">
      <c r="A475" s="36"/>
      <c r="B475" s="35"/>
      <c r="C475" s="36"/>
      <c r="D475" s="39"/>
      <c r="E475" s="36"/>
      <c r="F475" s="35"/>
      <c r="G475" s="37"/>
      <c r="H475" s="37"/>
      <c r="I475" s="37"/>
    </row>
    <row r="476">
      <c r="A476" s="38"/>
      <c r="B476" s="35"/>
      <c r="C476" s="36"/>
      <c r="D476" s="39"/>
      <c r="E476" s="36"/>
      <c r="F476" s="35"/>
      <c r="G476" s="37"/>
      <c r="H476" s="37"/>
      <c r="I476" s="37"/>
    </row>
    <row r="477">
      <c r="A477" s="38"/>
      <c r="B477" s="35"/>
      <c r="C477" s="36"/>
      <c r="D477" s="39"/>
      <c r="E477" s="36"/>
      <c r="F477" s="35"/>
      <c r="G477" s="37"/>
      <c r="H477" s="37"/>
      <c r="I477" s="37"/>
    </row>
    <row r="478">
      <c r="A478" s="36"/>
      <c r="B478" s="35"/>
      <c r="C478" s="36"/>
      <c r="D478" s="39"/>
      <c r="E478" s="36"/>
      <c r="F478" s="35"/>
      <c r="G478" s="37"/>
      <c r="H478" s="37"/>
      <c r="I478" s="37"/>
    </row>
    <row r="479">
      <c r="A479" s="36"/>
      <c r="B479" s="35"/>
      <c r="C479" s="36"/>
      <c r="D479" s="39"/>
      <c r="E479" s="36"/>
      <c r="F479" s="35"/>
      <c r="G479" s="37"/>
      <c r="H479" s="37"/>
      <c r="I479" s="37"/>
    </row>
    <row r="480">
      <c r="A480" s="38"/>
      <c r="B480" s="35"/>
      <c r="C480" s="36"/>
      <c r="D480" s="39"/>
      <c r="E480" s="36"/>
      <c r="F480" s="35"/>
      <c r="G480" s="37"/>
      <c r="H480" s="37"/>
      <c r="I480" s="37"/>
    </row>
    <row r="481">
      <c r="A481" s="36"/>
      <c r="B481" s="35"/>
      <c r="C481" s="36"/>
      <c r="D481" s="39"/>
      <c r="E481" s="36"/>
      <c r="F481" s="35"/>
      <c r="G481" s="37"/>
      <c r="H481" s="37"/>
      <c r="I481" s="37"/>
    </row>
    <row r="482">
      <c r="A482" s="36"/>
      <c r="B482" s="35"/>
      <c r="C482" s="36"/>
      <c r="D482" s="39"/>
      <c r="E482" s="36"/>
      <c r="F482" s="35"/>
      <c r="G482" s="37"/>
      <c r="H482" s="37"/>
      <c r="I482" s="37"/>
    </row>
    <row r="483">
      <c r="A483" s="36"/>
      <c r="B483" s="35"/>
      <c r="C483" s="36"/>
      <c r="D483" s="39"/>
      <c r="E483" s="36"/>
      <c r="F483" s="35"/>
      <c r="G483" s="37"/>
      <c r="H483" s="37"/>
      <c r="I483" s="37"/>
    </row>
    <row r="484">
      <c r="A484" s="38"/>
      <c r="B484" s="35"/>
      <c r="C484" s="36"/>
      <c r="D484" s="39"/>
      <c r="E484" s="36"/>
      <c r="F484" s="35"/>
      <c r="G484" s="37"/>
      <c r="H484" s="37"/>
      <c r="I484" s="37"/>
    </row>
    <row r="485">
      <c r="A485" s="36"/>
      <c r="B485" s="35"/>
      <c r="C485" s="36"/>
      <c r="D485" s="39"/>
      <c r="E485" s="36"/>
      <c r="F485" s="35"/>
      <c r="G485" s="37"/>
      <c r="H485" s="37"/>
      <c r="I485" s="37"/>
    </row>
    <row r="486">
      <c r="A486" s="36"/>
      <c r="B486" s="35"/>
      <c r="C486" s="36"/>
      <c r="D486" s="39"/>
      <c r="E486" s="36"/>
      <c r="F486" s="35"/>
      <c r="G486" s="37"/>
      <c r="H486" s="37"/>
      <c r="I486" s="37"/>
    </row>
    <row r="487">
      <c r="A487" s="36"/>
      <c r="B487" s="35"/>
      <c r="C487" s="36"/>
      <c r="D487" s="39"/>
      <c r="E487" s="36"/>
      <c r="F487" s="35"/>
      <c r="G487" s="37"/>
      <c r="H487" s="37"/>
      <c r="I487" s="37"/>
    </row>
    <row r="488">
      <c r="A488" s="38"/>
      <c r="B488" s="35"/>
      <c r="C488" s="36"/>
      <c r="D488" s="39"/>
      <c r="E488" s="36"/>
      <c r="F488" s="35"/>
      <c r="G488" s="37"/>
      <c r="H488" s="37"/>
      <c r="I488" s="37"/>
    </row>
    <row r="489">
      <c r="A489" s="36"/>
      <c r="B489" s="35"/>
      <c r="C489" s="36"/>
      <c r="D489" s="39"/>
      <c r="E489" s="36"/>
      <c r="F489" s="35"/>
      <c r="G489" s="37"/>
      <c r="H489" s="37"/>
      <c r="I489" s="37"/>
    </row>
    <row r="490">
      <c r="A490" s="36"/>
      <c r="B490" s="35"/>
      <c r="C490" s="36"/>
      <c r="D490" s="39"/>
      <c r="E490" s="36"/>
      <c r="F490" s="35"/>
      <c r="G490" s="37"/>
      <c r="H490" s="37"/>
      <c r="I490" s="37"/>
    </row>
    <row r="491">
      <c r="A491" s="38"/>
      <c r="B491" s="35"/>
      <c r="C491" s="36"/>
      <c r="D491" s="39"/>
      <c r="E491" s="36"/>
      <c r="F491" s="35"/>
      <c r="G491" s="37"/>
      <c r="H491" s="37"/>
      <c r="I491" s="37"/>
    </row>
    <row r="492">
      <c r="A492" s="38"/>
      <c r="B492" s="35"/>
      <c r="C492" s="36"/>
      <c r="D492" s="39"/>
      <c r="E492" s="36"/>
      <c r="F492" s="35"/>
      <c r="G492" s="37"/>
      <c r="H492" s="37"/>
      <c r="I492" s="37"/>
    </row>
    <row r="493">
      <c r="A493" s="36"/>
      <c r="B493" s="35"/>
      <c r="C493" s="36"/>
      <c r="D493" s="39"/>
      <c r="E493" s="36"/>
      <c r="F493" s="35"/>
      <c r="G493" s="37"/>
      <c r="H493" s="37"/>
      <c r="I493" s="37"/>
    </row>
    <row r="494">
      <c r="A494" s="36"/>
      <c r="B494" s="35"/>
      <c r="C494" s="36"/>
      <c r="D494" s="39"/>
      <c r="E494" s="36"/>
      <c r="F494" s="35"/>
      <c r="G494" s="37"/>
      <c r="H494" s="37"/>
      <c r="I494" s="37"/>
    </row>
    <row r="495">
      <c r="A495" s="38"/>
      <c r="B495" s="35"/>
      <c r="C495" s="36"/>
      <c r="D495" s="39"/>
      <c r="E495" s="36"/>
      <c r="F495" s="35"/>
      <c r="G495" s="37"/>
      <c r="H495" s="37"/>
      <c r="I495" s="37"/>
    </row>
    <row r="496">
      <c r="A496" s="38"/>
      <c r="B496" s="35"/>
      <c r="C496" s="36"/>
      <c r="D496" s="39"/>
      <c r="E496" s="36"/>
      <c r="F496" s="35"/>
      <c r="G496" s="37"/>
      <c r="H496" s="37"/>
      <c r="I496" s="37"/>
    </row>
    <row r="497">
      <c r="A497" s="36"/>
      <c r="B497" s="35"/>
      <c r="C497" s="36"/>
      <c r="D497" s="39"/>
      <c r="E497" s="36"/>
      <c r="F497" s="35"/>
      <c r="G497" s="37"/>
      <c r="H497" s="37"/>
      <c r="I497" s="37"/>
    </row>
    <row r="498">
      <c r="A498" s="36"/>
      <c r="B498" s="35"/>
      <c r="C498" s="36"/>
      <c r="D498" s="39"/>
      <c r="E498" s="36"/>
      <c r="F498" s="35"/>
      <c r="G498" s="37"/>
      <c r="H498" s="37"/>
      <c r="I498" s="37"/>
    </row>
    <row r="499">
      <c r="A499" s="38"/>
      <c r="B499" s="35"/>
      <c r="C499" s="36"/>
      <c r="D499" s="39"/>
      <c r="E499" s="36"/>
      <c r="F499" s="35"/>
      <c r="G499" s="37"/>
      <c r="H499" s="37"/>
      <c r="I499" s="37"/>
    </row>
    <row r="500">
      <c r="A500" s="38"/>
      <c r="B500" s="35"/>
      <c r="C500" s="36"/>
      <c r="D500" s="39"/>
      <c r="E500" s="36"/>
      <c r="F500" s="35"/>
      <c r="G500" s="37"/>
      <c r="H500" s="37"/>
      <c r="I500" s="37"/>
    </row>
    <row r="501">
      <c r="A501" s="36"/>
      <c r="B501" s="35"/>
      <c r="C501" s="36"/>
      <c r="D501" s="39"/>
      <c r="E501" s="36"/>
      <c r="F501" s="35"/>
      <c r="G501" s="37"/>
      <c r="H501" s="37"/>
      <c r="I501" s="37"/>
    </row>
    <row r="502">
      <c r="A502" s="36"/>
      <c r="B502" s="35"/>
      <c r="C502" s="36"/>
      <c r="D502" s="39"/>
      <c r="E502" s="36"/>
      <c r="F502" s="35"/>
      <c r="G502" s="37"/>
      <c r="H502" s="37"/>
      <c r="I502" s="37"/>
    </row>
    <row r="503">
      <c r="A503" s="38"/>
      <c r="B503" s="35"/>
      <c r="C503" s="36"/>
      <c r="D503" s="39"/>
      <c r="E503" s="36"/>
      <c r="F503" s="35"/>
      <c r="G503" s="37"/>
      <c r="H503" s="37"/>
      <c r="I503" s="37"/>
    </row>
    <row r="504">
      <c r="A504" s="36"/>
      <c r="B504" s="35"/>
      <c r="C504" s="36"/>
      <c r="D504" s="39"/>
      <c r="E504" s="36"/>
      <c r="F504" s="35"/>
      <c r="G504" s="37"/>
      <c r="H504" s="37"/>
      <c r="I504" s="37"/>
    </row>
    <row r="505">
      <c r="A505" s="36"/>
      <c r="B505" s="35"/>
      <c r="C505" s="36"/>
      <c r="D505" s="39"/>
      <c r="E505" s="36"/>
      <c r="F505" s="35"/>
      <c r="G505" s="37"/>
      <c r="H505" s="37"/>
      <c r="I505" s="37"/>
    </row>
    <row r="506">
      <c r="A506" s="36"/>
      <c r="B506" s="35"/>
      <c r="C506" s="36"/>
      <c r="D506" s="39"/>
      <c r="E506" s="36"/>
      <c r="F506" s="35"/>
      <c r="G506" s="37"/>
      <c r="H506" s="37"/>
      <c r="I506" s="37"/>
    </row>
    <row r="507">
      <c r="A507" s="38"/>
      <c r="B507" s="35"/>
      <c r="C507" s="36"/>
      <c r="D507" s="39"/>
      <c r="E507" s="36"/>
      <c r="F507" s="35"/>
      <c r="G507" s="37"/>
      <c r="H507" s="37"/>
      <c r="I507" s="37"/>
    </row>
    <row r="508">
      <c r="A508" s="36"/>
      <c r="B508" s="35"/>
      <c r="C508" s="36"/>
      <c r="D508" s="39"/>
      <c r="E508" s="36"/>
      <c r="F508" s="35"/>
      <c r="G508" s="37"/>
      <c r="H508" s="37"/>
      <c r="I508" s="37"/>
    </row>
    <row r="509">
      <c r="A509" s="36"/>
      <c r="B509" s="35"/>
      <c r="C509" s="36"/>
      <c r="D509" s="39"/>
      <c r="E509" s="36"/>
      <c r="F509" s="35"/>
      <c r="G509" s="37"/>
      <c r="H509" s="37"/>
      <c r="I509" s="37"/>
    </row>
    <row r="510">
      <c r="A510" s="38"/>
      <c r="B510" s="35"/>
      <c r="C510" s="36"/>
      <c r="D510" s="39"/>
      <c r="E510" s="36"/>
      <c r="F510" s="35"/>
      <c r="G510" s="37"/>
      <c r="H510" s="37"/>
      <c r="I510" s="37"/>
    </row>
    <row r="511">
      <c r="A511" s="38"/>
      <c r="B511" s="35"/>
      <c r="C511" s="36"/>
      <c r="D511" s="39"/>
      <c r="E511" s="36"/>
      <c r="F511" s="35"/>
      <c r="G511" s="37"/>
      <c r="H511" s="37"/>
      <c r="I511" s="37"/>
    </row>
    <row r="512">
      <c r="A512" s="36"/>
      <c r="B512" s="35"/>
      <c r="C512" s="36"/>
      <c r="D512" s="39"/>
      <c r="E512" s="36"/>
      <c r="F512" s="35"/>
      <c r="G512" s="37"/>
      <c r="H512" s="37"/>
      <c r="I512" s="37"/>
    </row>
    <row r="513">
      <c r="A513" s="36"/>
      <c r="B513" s="35"/>
      <c r="C513" s="36"/>
      <c r="D513" s="39"/>
      <c r="E513" s="36"/>
      <c r="F513" s="35"/>
      <c r="G513" s="37"/>
      <c r="H513" s="37"/>
      <c r="I513" s="37"/>
    </row>
    <row r="514">
      <c r="A514" s="38"/>
      <c r="B514" s="35"/>
      <c r="C514" s="36"/>
      <c r="D514" s="39"/>
      <c r="E514" s="36"/>
      <c r="F514" s="35"/>
      <c r="G514" s="37"/>
      <c r="H514" s="37"/>
      <c r="I514" s="37"/>
    </row>
    <row r="515">
      <c r="A515" s="38"/>
      <c r="B515" s="35"/>
      <c r="C515" s="36"/>
      <c r="D515" s="39"/>
      <c r="E515" s="36"/>
      <c r="F515" s="35"/>
      <c r="G515" s="37"/>
      <c r="H515" s="37"/>
      <c r="I515" s="37"/>
    </row>
    <row r="516">
      <c r="A516" s="36"/>
      <c r="B516" s="35"/>
      <c r="C516" s="36"/>
      <c r="D516" s="39"/>
      <c r="E516" s="36"/>
      <c r="F516" s="35"/>
      <c r="G516" s="37"/>
      <c r="H516" s="37"/>
      <c r="I516" s="37"/>
    </row>
    <row r="517">
      <c r="A517" s="36"/>
      <c r="B517" s="35"/>
      <c r="C517" s="36"/>
      <c r="D517" s="39"/>
      <c r="E517" s="36"/>
      <c r="F517" s="35"/>
      <c r="G517" s="37"/>
      <c r="H517" s="37"/>
      <c r="I517" s="37"/>
    </row>
    <row r="518">
      <c r="A518" s="38"/>
      <c r="B518" s="35"/>
      <c r="C518" s="36"/>
      <c r="D518" s="39"/>
      <c r="E518" s="36"/>
      <c r="F518" s="35"/>
      <c r="G518" s="37"/>
      <c r="H518" s="37"/>
      <c r="I518" s="37"/>
    </row>
    <row r="519">
      <c r="A519" s="36"/>
      <c r="B519" s="35"/>
      <c r="C519" s="36"/>
      <c r="D519" s="39"/>
      <c r="E519" s="36"/>
      <c r="F519" s="35"/>
      <c r="G519" s="37"/>
      <c r="H519" s="37"/>
      <c r="I519" s="37"/>
    </row>
    <row r="520">
      <c r="A520" s="36"/>
      <c r="B520" s="35"/>
      <c r="C520" s="36"/>
      <c r="D520" s="39"/>
      <c r="E520" s="36"/>
      <c r="F520" s="35"/>
      <c r="G520" s="37"/>
      <c r="H520" s="37"/>
      <c r="I520" s="37"/>
    </row>
    <row r="521">
      <c r="A521" s="36"/>
      <c r="B521" s="35"/>
      <c r="C521" s="36"/>
      <c r="D521" s="39"/>
      <c r="E521" s="36"/>
      <c r="F521" s="35"/>
      <c r="G521" s="37"/>
      <c r="H521" s="37"/>
      <c r="I521" s="37"/>
    </row>
    <row r="522">
      <c r="A522" s="38"/>
      <c r="B522" s="35"/>
      <c r="C522" s="36"/>
      <c r="D522" s="39"/>
      <c r="E522" s="36"/>
      <c r="F522" s="35"/>
      <c r="G522" s="37"/>
      <c r="H522" s="37"/>
      <c r="I522" s="37"/>
    </row>
    <row r="523">
      <c r="A523" s="36"/>
      <c r="B523" s="35"/>
      <c r="C523" s="36"/>
      <c r="D523" s="39"/>
      <c r="E523" s="36"/>
      <c r="F523" s="35"/>
      <c r="G523" s="37"/>
      <c r="H523" s="37"/>
      <c r="I523" s="37"/>
    </row>
    <row r="524">
      <c r="A524" s="36"/>
      <c r="B524" s="35"/>
      <c r="C524" s="36"/>
      <c r="D524" s="39"/>
      <c r="E524" s="36"/>
      <c r="F524" s="35"/>
      <c r="G524" s="37"/>
      <c r="H524" s="37"/>
      <c r="I524" s="37"/>
    </row>
    <row r="525">
      <c r="A525" s="36"/>
      <c r="B525" s="35"/>
      <c r="C525" s="36"/>
      <c r="D525" s="39"/>
      <c r="E525" s="36"/>
      <c r="F525" s="35"/>
      <c r="G525" s="37"/>
      <c r="H525" s="37"/>
      <c r="I525" s="37"/>
    </row>
    <row r="526">
      <c r="A526" s="38"/>
      <c r="B526" s="35"/>
      <c r="C526" s="36"/>
      <c r="D526" s="39"/>
      <c r="E526" s="36"/>
      <c r="F526" s="35"/>
      <c r="G526" s="37"/>
      <c r="H526" s="37"/>
      <c r="I526" s="37"/>
    </row>
    <row r="527">
      <c r="A527" s="36"/>
      <c r="B527" s="35"/>
      <c r="C527" s="36"/>
      <c r="D527" s="39"/>
      <c r="E527" s="36"/>
      <c r="F527" s="35"/>
      <c r="G527" s="37"/>
      <c r="H527" s="37"/>
      <c r="I527" s="37"/>
    </row>
    <row r="528">
      <c r="A528" s="36"/>
      <c r="B528" s="35"/>
      <c r="C528" s="36"/>
      <c r="D528" s="39"/>
      <c r="E528" s="36"/>
      <c r="F528" s="35"/>
      <c r="G528" s="37"/>
      <c r="H528" s="37"/>
      <c r="I528" s="37"/>
    </row>
    <row r="529">
      <c r="A529" s="38"/>
      <c r="B529" s="35"/>
      <c r="C529" s="36"/>
      <c r="D529" s="39"/>
      <c r="E529" s="36"/>
      <c r="F529" s="35"/>
      <c r="G529" s="37"/>
      <c r="H529" s="37"/>
      <c r="I529" s="37"/>
    </row>
    <row r="530">
      <c r="A530" s="38"/>
      <c r="B530" s="35"/>
      <c r="C530" s="36"/>
      <c r="D530" s="39"/>
      <c r="E530" s="36"/>
      <c r="F530" s="35"/>
      <c r="G530" s="37"/>
      <c r="H530" s="37"/>
      <c r="I530" s="37"/>
    </row>
    <row r="531">
      <c r="A531" s="36"/>
      <c r="B531" s="35"/>
      <c r="C531" s="36"/>
      <c r="D531" s="39"/>
      <c r="E531" s="36"/>
      <c r="F531" s="35"/>
      <c r="G531" s="37"/>
      <c r="H531" s="37"/>
      <c r="I531" s="37"/>
    </row>
    <row r="532">
      <c r="A532" s="36"/>
      <c r="B532" s="35"/>
      <c r="C532" s="36"/>
      <c r="D532" s="39"/>
      <c r="E532" s="36"/>
      <c r="F532" s="35"/>
      <c r="G532" s="37"/>
      <c r="H532" s="37"/>
      <c r="I532" s="37"/>
    </row>
    <row r="533">
      <c r="A533" s="38"/>
      <c r="B533" s="35"/>
      <c r="C533" s="36"/>
      <c r="D533" s="39"/>
      <c r="E533" s="36"/>
      <c r="F533" s="35"/>
      <c r="G533" s="37"/>
      <c r="H533" s="37"/>
      <c r="I533" s="37"/>
    </row>
    <row r="534">
      <c r="A534" s="38"/>
      <c r="B534" s="35"/>
      <c r="C534" s="36"/>
      <c r="D534" s="39"/>
      <c r="E534" s="36"/>
      <c r="F534" s="35"/>
      <c r="G534" s="37"/>
      <c r="H534" s="37"/>
      <c r="I534" s="37"/>
    </row>
    <row r="535">
      <c r="A535" s="36"/>
      <c r="B535" s="35"/>
      <c r="C535" s="36"/>
      <c r="D535" s="39"/>
      <c r="E535" s="36"/>
      <c r="F535" s="35"/>
      <c r="G535" s="37"/>
      <c r="H535" s="37"/>
      <c r="I535" s="37"/>
    </row>
    <row r="536">
      <c r="A536" s="36"/>
      <c r="B536" s="35"/>
      <c r="C536" s="36"/>
      <c r="D536" s="39"/>
      <c r="E536" s="36"/>
      <c r="F536" s="35"/>
      <c r="G536" s="37"/>
      <c r="H536" s="37"/>
      <c r="I536" s="37"/>
    </row>
    <row r="537">
      <c r="A537" s="38"/>
      <c r="B537" s="35"/>
      <c r="C537" s="36"/>
      <c r="D537" s="39"/>
      <c r="E537" s="36"/>
      <c r="F537" s="35"/>
      <c r="G537" s="37"/>
      <c r="H537" s="37"/>
      <c r="I537" s="37"/>
    </row>
    <row r="538">
      <c r="A538" s="38"/>
      <c r="B538" s="35"/>
      <c r="C538" s="36"/>
      <c r="D538" s="39"/>
      <c r="E538" s="36"/>
      <c r="F538" s="35"/>
      <c r="G538" s="37"/>
      <c r="H538" s="37"/>
      <c r="I538" s="37"/>
    </row>
    <row r="539">
      <c r="A539" s="36"/>
      <c r="B539" s="35"/>
      <c r="C539" s="36"/>
      <c r="D539" s="39"/>
      <c r="E539" s="36"/>
      <c r="F539" s="35"/>
      <c r="G539" s="37"/>
      <c r="H539" s="37"/>
      <c r="I539" s="37"/>
    </row>
    <row r="540">
      <c r="A540" s="36"/>
      <c r="B540" s="35"/>
      <c r="C540" s="36"/>
      <c r="D540" s="39"/>
      <c r="E540" s="36"/>
      <c r="F540" s="35"/>
      <c r="G540" s="37"/>
      <c r="H540" s="37"/>
      <c r="I540" s="37"/>
    </row>
    <row r="541">
      <c r="A541" s="38"/>
      <c r="B541" s="35"/>
      <c r="C541" s="36"/>
      <c r="D541" s="39"/>
      <c r="E541" s="36"/>
      <c r="F541" s="35"/>
      <c r="G541" s="37"/>
      <c r="H541" s="37"/>
      <c r="I541" s="37"/>
    </row>
    <row r="542">
      <c r="A542" s="36"/>
      <c r="B542" s="35"/>
      <c r="C542" s="36"/>
      <c r="D542" s="39"/>
      <c r="E542" s="36"/>
      <c r="F542" s="35"/>
      <c r="G542" s="37"/>
      <c r="H542" s="37"/>
      <c r="I542" s="37"/>
    </row>
    <row r="543">
      <c r="A543" s="36"/>
      <c r="B543" s="35"/>
      <c r="C543" s="36"/>
      <c r="D543" s="39"/>
      <c r="E543" s="36"/>
      <c r="F543" s="35"/>
      <c r="G543" s="37"/>
      <c r="H543" s="37"/>
      <c r="I543" s="37"/>
    </row>
    <row r="544">
      <c r="A544" s="36"/>
      <c r="B544" s="35"/>
      <c r="C544" s="36"/>
      <c r="D544" s="39"/>
      <c r="E544" s="36"/>
      <c r="F544" s="35"/>
      <c r="G544" s="37"/>
      <c r="H544" s="37"/>
      <c r="I544" s="37"/>
    </row>
    <row r="545">
      <c r="A545" s="38"/>
      <c r="B545" s="35"/>
      <c r="C545" s="36"/>
      <c r="D545" s="39"/>
      <c r="E545" s="36"/>
      <c r="F545" s="35"/>
      <c r="G545" s="37"/>
      <c r="H545" s="37"/>
      <c r="I545" s="37"/>
    </row>
    <row r="546">
      <c r="A546" s="36"/>
      <c r="B546" s="35"/>
      <c r="C546" s="36"/>
      <c r="D546" s="39"/>
      <c r="E546" s="36"/>
      <c r="F546" s="35"/>
      <c r="G546" s="37"/>
      <c r="H546" s="37"/>
      <c r="I546" s="37"/>
    </row>
    <row r="547">
      <c r="A547" s="36"/>
      <c r="B547" s="35"/>
      <c r="C547" s="36"/>
      <c r="D547" s="39"/>
      <c r="E547" s="36"/>
      <c r="F547" s="35"/>
      <c r="G547" s="37"/>
      <c r="H547" s="37"/>
      <c r="I547" s="37"/>
    </row>
    <row r="548">
      <c r="A548" s="36"/>
      <c r="B548" s="35"/>
      <c r="C548" s="36"/>
      <c r="D548" s="39"/>
      <c r="E548" s="36"/>
      <c r="F548" s="35"/>
      <c r="G548" s="37"/>
      <c r="H548" s="37"/>
      <c r="I548" s="37"/>
    </row>
    <row r="549">
      <c r="A549" s="38"/>
      <c r="B549" s="35"/>
      <c r="C549" s="36"/>
      <c r="D549" s="39"/>
      <c r="E549" s="36"/>
      <c r="F549" s="35"/>
      <c r="G549" s="37"/>
      <c r="H549" s="37"/>
      <c r="I549" s="37"/>
    </row>
    <row r="550">
      <c r="A550" s="36"/>
      <c r="B550" s="35"/>
      <c r="C550" s="36"/>
      <c r="D550" s="39"/>
      <c r="E550" s="36"/>
      <c r="F550" s="35"/>
      <c r="G550" s="37"/>
      <c r="H550" s="37"/>
      <c r="I550" s="37"/>
    </row>
    <row r="551">
      <c r="A551" s="36"/>
      <c r="B551" s="35"/>
      <c r="C551" s="36"/>
      <c r="D551" s="39"/>
      <c r="E551" s="36"/>
      <c r="F551" s="35"/>
      <c r="G551" s="37"/>
      <c r="H551" s="37"/>
      <c r="I551" s="37"/>
    </row>
    <row r="552">
      <c r="A552" s="38"/>
      <c r="B552" s="35"/>
      <c r="C552" s="36"/>
      <c r="D552" s="39"/>
      <c r="E552" s="36"/>
      <c r="F552" s="35"/>
      <c r="G552" s="37"/>
      <c r="H552" s="37"/>
      <c r="I552" s="37"/>
    </row>
    <row r="553">
      <c r="A553" s="38"/>
      <c r="B553" s="35"/>
      <c r="C553" s="36"/>
      <c r="D553" s="39"/>
      <c r="E553" s="36"/>
      <c r="F553" s="35"/>
      <c r="G553" s="37"/>
      <c r="H553" s="37"/>
      <c r="I553" s="37"/>
    </row>
    <row r="554">
      <c r="A554" s="36"/>
      <c r="B554" s="35"/>
      <c r="C554" s="36"/>
      <c r="D554" s="39"/>
      <c r="E554" s="36"/>
      <c r="F554" s="35"/>
      <c r="G554" s="37"/>
      <c r="H554" s="37"/>
      <c r="I554" s="37"/>
    </row>
    <row r="555">
      <c r="A555" s="36"/>
      <c r="B555" s="35"/>
      <c r="C555" s="36"/>
      <c r="D555" s="39"/>
      <c r="E555" s="36"/>
      <c r="F555" s="35"/>
      <c r="G555" s="37"/>
      <c r="H555" s="37"/>
      <c r="I555" s="37"/>
    </row>
    <row r="556">
      <c r="A556" s="38"/>
      <c r="B556" s="35"/>
      <c r="C556" s="36"/>
      <c r="D556" s="39"/>
      <c r="E556" s="36"/>
      <c r="F556" s="35"/>
      <c r="G556" s="37"/>
      <c r="H556" s="37"/>
      <c r="I556" s="37"/>
    </row>
    <row r="557">
      <c r="A557" s="36"/>
      <c r="B557" s="35"/>
      <c r="C557" s="36"/>
      <c r="D557" s="39"/>
      <c r="E557" s="36"/>
      <c r="F557" s="35"/>
      <c r="G557" s="37"/>
      <c r="H557" s="37"/>
      <c r="I557" s="37"/>
    </row>
    <row r="558">
      <c r="A558" s="36"/>
      <c r="B558" s="35"/>
      <c r="C558" s="36"/>
      <c r="D558" s="39"/>
      <c r="E558" s="36"/>
      <c r="F558" s="35"/>
      <c r="G558" s="37"/>
      <c r="H558" s="37"/>
      <c r="I558" s="37"/>
    </row>
    <row r="559">
      <c r="A559" s="36"/>
      <c r="B559" s="35"/>
      <c r="C559" s="36"/>
      <c r="D559" s="39"/>
      <c r="E559" s="36"/>
      <c r="F559" s="35"/>
      <c r="G559" s="37"/>
      <c r="H559" s="37"/>
      <c r="I559" s="37"/>
    </row>
    <row r="560">
      <c r="A560" s="38"/>
      <c r="B560" s="35"/>
      <c r="C560" s="36"/>
      <c r="D560" s="39"/>
      <c r="E560" s="36"/>
      <c r="F560" s="35"/>
      <c r="G560" s="37"/>
      <c r="H560" s="37"/>
      <c r="I560" s="37"/>
    </row>
    <row r="561">
      <c r="A561" s="36"/>
      <c r="B561" s="35"/>
      <c r="C561" s="36"/>
      <c r="D561" s="39"/>
      <c r="E561" s="36"/>
      <c r="F561" s="35"/>
      <c r="G561" s="37"/>
      <c r="H561" s="37"/>
      <c r="I561" s="37"/>
    </row>
    <row r="562">
      <c r="A562" s="36"/>
      <c r="B562" s="35"/>
      <c r="C562" s="36"/>
      <c r="D562" s="39"/>
      <c r="E562" s="36"/>
      <c r="F562" s="35"/>
      <c r="G562" s="37"/>
      <c r="H562" s="37"/>
      <c r="I562" s="37"/>
    </row>
    <row r="563">
      <c r="A563" s="36"/>
      <c r="B563" s="35"/>
      <c r="C563" s="36"/>
      <c r="D563" s="39"/>
      <c r="E563" s="36"/>
      <c r="F563" s="35"/>
      <c r="G563" s="37"/>
      <c r="H563" s="37"/>
      <c r="I563" s="37"/>
    </row>
    <row r="564">
      <c r="A564" s="38"/>
      <c r="B564" s="35"/>
      <c r="C564" s="36"/>
      <c r="D564" s="39"/>
      <c r="E564" s="36"/>
      <c r="F564" s="35"/>
      <c r="G564" s="37"/>
      <c r="H564" s="37"/>
      <c r="I564" s="37"/>
    </row>
    <row r="565">
      <c r="A565" s="36"/>
      <c r="B565" s="35"/>
      <c r="C565" s="36"/>
      <c r="D565" s="39"/>
      <c r="E565" s="36"/>
      <c r="F565" s="35"/>
      <c r="G565" s="37"/>
      <c r="H565" s="37"/>
      <c r="I565" s="37"/>
    </row>
    <row r="566">
      <c r="A566" s="36"/>
      <c r="B566" s="35"/>
      <c r="C566" s="36"/>
      <c r="D566" s="39"/>
      <c r="E566" s="36"/>
      <c r="F566" s="35"/>
      <c r="G566" s="37"/>
      <c r="H566" s="37"/>
      <c r="I566" s="37"/>
    </row>
    <row r="567">
      <c r="A567" s="38"/>
      <c r="B567" s="35"/>
      <c r="C567" s="36"/>
      <c r="D567" s="39"/>
      <c r="E567" s="36"/>
      <c r="F567" s="35"/>
      <c r="G567" s="37"/>
      <c r="H567" s="37"/>
      <c r="I567" s="37"/>
    </row>
    <row r="568">
      <c r="A568" s="38"/>
      <c r="B568" s="35"/>
      <c r="C568" s="36"/>
      <c r="D568" s="39"/>
      <c r="E568" s="36"/>
      <c r="F568" s="35"/>
      <c r="G568" s="37"/>
      <c r="H568" s="37"/>
      <c r="I568" s="37"/>
    </row>
    <row r="569">
      <c r="A569" s="36"/>
      <c r="B569" s="35"/>
      <c r="C569" s="36"/>
      <c r="D569" s="39"/>
      <c r="E569" s="36"/>
      <c r="F569" s="35"/>
      <c r="G569" s="37"/>
      <c r="H569" s="37"/>
      <c r="I569" s="37"/>
    </row>
    <row r="570">
      <c r="A570" s="36"/>
      <c r="B570" s="35"/>
      <c r="C570" s="36"/>
      <c r="D570" s="39"/>
      <c r="E570" s="36"/>
      <c r="F570" s="35"/>
      <c r="G570" s="37"/>
      <c r="H570" s="37"/>
      <c r="I570" s="37"/>
    </row>
    <row r="571">
      <c r="A571" s="38"/>
      <c r="B571" s="35"/>
      <c r="C571" s="36"/>
      <c r="D571" s="39"/>
      <c r="E571" s="36"/>
      <c r="F571" s="35"/>
      <c r="G571" s="37"/>
      <c r="H571" s="37"/>
      <c r="I571" s="37"/>
    </row>
    <row r="572">
      <c r="A572" s="38"/>
      <c r="B572" s="35"/>
      <c r="C572" s="36"/>
      <c r="D572" s="39"/>
      <c r="E572" s="36"/>
      <c r="F572" s="35"/>
      <c r="G572" s="37"/>
      <c r="H572" s="37"/>
      <c r="I572" s="37"/>
    </row>
    <row r="573">
      <c r="A573" s="36"/>
      <c r="B573" s="35"/>
      <c r="C573" s="36"/>
      <c r="D573" s="39"/>
      <c r="E573" s="36"/>
      <c r="F573" s="35"/>
      <c r="G573" s="37"/>
      <c r="H573" s="37"/>
      <c r="I573" s="37"/>
    </row>
    <row r="574">
      <c r="A574" s="36"/>
      <c r="B574" s="35"/>
      <c r="C574" s="36"/>
      <c r="D574" s="39"/>
      <c r="E574" s="36"/>
      <c r="F574" s="35"/>
      <c r="G574" s="37"/>
      <c r="H574" s="37"/>
      <c r="I574" s="37"/>
    </row>
    <row r="575">
      <c r="A575" s="38"/>
      <c r="B575" s="35"/>
      <c r="C575" s="36"/>
      <c r="D575" s="39"/>
      <c r="E575" s="36"/>
      <c r="F575" s="35"/>
      <c r="G575" s="37"/>
      <c r="H575" s="37"/>
      <c r="I575" s="37"/>
    </row>
    <row r="576">
      <c r="A576" s="38"/>
      <c r="B576" s="35"/>
      <c r="C576" s="36"/>
      <c r="D576" s="39"/>
      <c r="E576" s="36"/>
      <c r="F576" s="35"/>
      <c r="G576" s="37"/>
      <c r="H576" s="37"/>
      <c r="I576" s="37"/>
    </row>
    <row r="577">
      <c r="A577" s="36"/>
      <c r="B577" s="35"/>
      <c r="C577" s="36"/>
      <c r="D577" s="39"/>
      <c r="E577" s="36"/>
      <c r="F577" s="35"/>
      <c r="G577" s="37"/>
      <c r="H577" s="37"/>
      <c r="I577" s="37"/>
    </row>
    <row r="578">
      <c r="A578" s="36"/>
      <c r="B578" s="35"/>
      <c r="C578" s="36"/>
      <c r="D578" s="39"/>
      <c r="E578" s="36"/>
      <c r="F578" s="35"/>
      <c r="G578" s="37"/>
      <c r="H578" s="37"/>
      <c r="I578" s="37"/>
    </row>
    <row r="579">
      <c r="A579" s="38"/>
      <c r="B579" s="35"/>
      <c r="C579" s="36"/>
      <c r="D579" s="39"/>
      <c r="E579" s="36"/>
      <c r="F579" s="35"/>
      <c r="G579" s="37"/>
      <c r="H579" s="37"/>
      <c r="I579" s="37"/>
    </row>
    <row r="580">
      <c r="A580" s="36"/>
      <c r="B580" s="35"/>
      <c r="C580" s="36"/>
      <c r="D580" s="39"/>
      <c r="E580" s="36"/>
      <c r="F580" s="35"/>
      <c r="G580" s="37"/>
      <c r="H580" s="37"/>
      <c r="I580" s="37"/>
    </row>
    <row r="581">
      <c r="A581" s="36"/>
      <c r="B581" s="35"/>
      <c r="C581" s="36"/>
      <c r="D581" s="39"/>
      <c r="E581" s="36"/>
      <c r="F581" s="35"/>
      <c r="G581" s="37"/>
      <c r="H581" s="37"/>
      <c r="I581" s="37"/>
    </row>
    <row r="582">
      <c r="A582" s="36"/>
      <c r="B582" s="35"/>
      <c r="C582" s="36"/>
      <c r="D582" s="39"/>
      <c r="E582" s="36"/>
      <c r="F582" s="35"/>
      <c r="G582" s="37"/>
      <c r="H582" s="37"/>
      <c r="I582" s="37"/>
    </row>
    <row r="583">
      <c r="A583" s="38"/>
      <c r="B583" s="35"/>
      <c r="C583" s="36"/>
      <c r="D583" s="39"/>
      <c r="E583" s="36"/>
      <c r="F583" s="35"/>
      <c r="G583" s="37"/>
      <c r="H583" s="37"/>
      <c r="I583" s="37"/>
    </row>
    <row r="584">
      <c r="A584" s="36"/>
      <c r="B584" s="35"/>
      <c r="C584" s="36"/>
      <c r="D584" s="39"/>
      <c r="E584" s="36"/>
      <c r="F584" s="35"/>
      <c r="G584" s="37"/>
      <c r="H584" s="37"/>
      <c r="I584" s="37"/>
    </row>
    <row r="585">
      <c r="A585" s="36"/>
      <c r="B585" s="35"/>
      <c r="C585" s="36"/>
      <c r="D585" s="39"/>
      <c r="E585" s="36"/>
      <c r="F585" s="35"/>
      <c r="G585" s="37"/>
      <c r="H585" s="37"/>
      <c r="I585" s="37"/>
    </row>
    <row r="586">
      <c r="A586" s="36"/>
      <c r="B586" s="35"/>
      <c r="C586" s="36"/>
      <c r="D586" s="39"/>
      <c r="E586" s="36"/>
      <c r="F586" s="35"/>
      <c r="G586" s="37"/>
      <c r="H586" s="37"/>
      <c r="I586" s="37"/>
    </row>
    <row r="587">
      <c r="A587" s="38"/>
      <c r="B587" s="35"/>
      <c r="C587" s="36"/>
      <c r="D587" s="39"/>
      <c r="E587" s="36"/>
      <c r="F587" s="35"/>
      <c r="G587" s="37"/>
      <c r="H587" s="37"/>
      <c r="I587" s="37"/>
    </row>
    <row r="588">
      <c r="A588" s="36"/>
      <c r="B588" s="35"/>
      <c r="C588" s="36"/>
      <c r="D588" s="39"/>
      <c r="E588" s="36"/>
      <c r="F588" s="35"/>
      <c r="G588" s="37"/>
      <c r="H588" s="37"/>
      <c r="I588" s="37"/>
    </row>
    <row r="589">
      <c r="A589" s="36"/>
      <c r="B589" s="35"/>
      <c r="C589" s="36"/>
      <c r="D589" s="39"/>
      <c r="E589" s="36"/>
      <c r="F589" s="35"/>
      <c r="G589" s="37"/>
      <c r="H589" s="37"/>
      <c r="I589" s="37"/>
    </row>
    <row r="590">
      <c r="A590" s="38"/>
      <c r="B590" s="35"/>
      <c r="C590" s="36"/>
      <c r="D590" s="39"/>
      <c r="E590" s="36"/>
      <c r="F590" s="35"/>
      <c r="G590" s="37"/>
      <c r="H590" s="37"/>
      <c r="I590" s="37"/>
    </row>
    <row r="591">
      <c r="A591" s="38"/>
      <c r="B591" s="35"/>
      <c r="C591" s="36"/>
      <c r="D591" s="39"/>
      <c r="E591" s="36"/>
      <c r="F591" s="35"/>
      <c r="G591" s="37"/>
      <c r="H591" s="37"/>
      <c r="I591" s="37"/>
    </row>
    <row r="592">
      <c r="A592" s="36"/>
      <c r="B592" s="35"/>
      <c r="C592" s="36"/>
      <c r="D592" s="39"/>
      <c r="E592" s="36"/>
      <c r="F592" s="35"/>
      <c r="G592" s="37"/>
      <c r="H592" s="37"/>
      <c r="I592" s="37"/>
    </row>
    <row r="593">
      <c r="A593" s="36"/>
      <c r="B593" s="35"/>
      <c r="C593" s="36"/>
      <c r="D593" s="39"/>
      <c r="E593" s="36"/>
      <c r="F593" s="35"/>
      <c r="G593" s="37"/>
      <c r="H593" s="37"/>
      <c r="I593" s="37"/>
    </row>
    <row r="594">
      <c r="A594" s="38"/>
      <c r="B594" s="35"/>
      <c r="C594" s="36"/>
      <c r="D594" s="39"/>
      <c r="E594" s="36"/>
      <c r="F594" s="35"/>
      <c r="G594" s="37"/>
      <c r="H594" s="37"/>
      <c r="I594" s="37"/>
    </row>
    <row r="595">
      <c r="A595" s="38"/>
      <c r="B595" s="35"/>
      <c r="C595" s="36"/>
      <c r="D595" s="39"/>
      <c r="E595" s="36"/>
      <c r="F595" s="35"/>
      <c r="G595" s="37"/>
      <c r="H595" s="37"/>
      <c r="I595" s="37"/>
    </row>
    <row r="596">
      <c r="A596" s="36"/>
      <c r="B596" s="35"/>
      <c r="C596" s="36"/>
      <c r="D596" s="39"/>
      <c r="E596" s="36"/>
      <c r="F596" s="35"/>
      <c r="G596" s="37"/>
      <c r="H596" s="37"/>
      <c r="I596" s="37"/>
    </row>
    <row r="597">
      <c r="A597" s="36"/>
      <c r="B597" s="35"/>
      <c r="C597" s="36"/>
      <c r="D597" s="39"/>
      <c r="E597" s="36"/>
      <c r="F597" s="35"/>
      <c r="G597" s="37"/>
      <c r="H597" s="37"/>
      <c r="I597" s="37"/>
    </row>
    <row r="598">
      <c r="A598" s="38"/>
      <c r="B598" s="35"/>
      <c r="C598" s="36"/>
      <c r="D598" s="39"/>
      <c r="E598" s="36"/>
      <c r="F598" s="35"/>
      <c r="G598" s="37"/>
      <c r="H598" s="37"/>
      <c r="I598" s="37"/>
    </row>
    <row r="599">
      <c r="A599" s="38"/>
      <c r="B599" s="35"/>
      <c r="C599" s="36"/>
      <c r="D599" s="39"/>
      <c r="E599" s="36"/>
      <c r="F599" s="35"/>
      <c r="G599" s="37"/>
      <c r="H599" s="37"/>
      <c r="I599" s="37"/>
    </row>
    <row r="600">
      <c r="A600" s="36"/>
      <c r="B600" s="35"/>
      <c r="C600" s="36"/>
      <c r="D600" s="39"/>
      <c r="E600" s="36"/>
      <c r="F600" s="35"/>
      <c r="G600" s="37"/>
      <c r="H600" s="37"/>
      <c r="I600" s="37"/>
    </row>
    <row r="601">
      <c r="A601" s="36"/>
      <c r="B601" s="35"/>
      <c r="C601" s="36"/>
      <c r="D601" s="39"/>
      <c r="E601" s="36"/>
      <c r="F601" s="35"/>
      <c r="G601" s="37"/>
      <c r="H601" s="37"/>
      <c r="I601" s="37"/>
    </row>
    <row r="602">
      <c r="A602" s="38"/>
      <c r="B602" s="35"/>
      <c r="C602" s="36"/>
      <c r="D602" s="39"/>
      <c r="E602" s="36"/>
      <c r="F602" s="35"/>
      <c r="G602" s="37"/>
      <c r="H602" s="37"/>
      <c r="I602" s="37"/>
    </row>
    <row r="603">
      <c r="A603" s="36"/>
      <c r="B603" s="35"/>
      <c r="C603" s="36"/>
      <c r="D603" s="39"/>
      <c r="E603" s="36"/>
      <c r="F603" s="35"/>
      <c r="G603" s="37"/>
      <c r="H603" s="37"/>
      <c r="I603" s="37"/>
    </row>
    <row r="604">
      <c r="A604" s="36"/>
      <c r="B604" s="35"/>
      <c r="C604" s="36"/>
      <c r="D604" s="39"/>
      <c r="E604" s="36"/>
      <c r="F604" s="35"/>
      <c r="G604" s="37"/>
      <c r="H604" s="37"/>
      <c r="I604" s="37"/>
    </row>
    <row r="605">
      <c r="A605" s="38"/>
      <c r="B605" s="35"/>
      <c r="C605" s="36"/>
      <c r="D605" s="39"/>
      <c r="E605" s="36"/>
      <c r="F605" s="35"/>
      <c r="G605" s="37"/>
      <c r="H605" s="37"/>
      <c r="I605" s="37"/>
    </row>
    <row r="606">
      <c r="A606" s="38"/>
      <c r="B606" s="35"/>
      <c r="C606" s="36"/>
      <c r="D606" s="39"/>
      <c r="E606" s="36"/>
      <c r="F606" s="35"/>
      <c r="G606" s="37"/>
      <c r="H606" s="37"/>
      <c r="I606" s="37"/>
    </row>
    <row r="607">
      <c r="A607" s="36"/>
      <c r="B607" s="35"/>
      <c r="C607" s="36"/>
      <c r="D607" s="39"/>
      <c r="E607" s="36"/>
      <c r="F607" s="35"/>
      <c r="G607" s="37"/>
      <c r="H607" s="37"/>
      <c r="I607" s="37"/>
    </row>
    <row r="608">
      <c r="A608" s="36"/>
      <c r="B608" s="35"/>
      <c r="C608" s="36"/>
      <c r="D608" s="39"/>
      <c r="E608" s="36"/>
      <c r="F608" s="35"/>
      <c r="G608" s="37"/>
      <c r="H608" s="37"/>
      <c r="I608" s="37"/>
    </row>
    <row r="609">
      <c r="A609" s="38"/>
      <c r="B609" s="35"/>
      <c r="C609" s="36"/>
      <c r="D609" s="39"/>
      <c r="E609" s="36"/>
      <c r="F609" s="35"/>
      <c r="G609" s="37"/>
      <c r="H609" s="37"/>
      <c r="I609" s="37"/>
    </row>
    <row r="610">
      <c r="A610" s="38"/>
      <c r="B610" s="35"/>
      <c r="C610" s="36"/>
      <c r="D610" s="39"/>
      <c r="E610" s="36"/>
      <c r="F610" s="35"/>
      <c r="G610" s="37"/>
      <c r="H610" s="37"/>
      <c r="I610" s="37"/>
    </row>
    <row r="611">
      <c r="A611" s="36"/>
      <c r="B611" s="35"/>
      <c r="C611" s="36"/>
      <c r="D611" s="39"/>
      <c r="E611" s="36"/>
      <c r="F611" s="35"/>
      <c r="G611" s="37"/>
      <c r="H611" s="37"/>
      <c r="I611" s="37"/>
    </row>
    <row r="612">
      <c r="A612" s="36"/>
      <c r="B612" s="35"/>
      <c r="C612" s="36"/>
      <c r="D612" s="39"/>
      <c r="E612" s="36"/>
      <c r="F612" s="35"/>
      <c r="G612" s="37"/>
      <c r="H612" s="37"/>
      <c r="I612" s="37"/>
    </row>
    <row r="613">
      <c r="A613" s="40"/>
      <c r="D613" s="41"/>
      <c r="G613" s="42"/>
      <c r="H613" s="42"/>
      <c r="I613" s="42"/>
    </row>
    <row r="614">
      <c r="A614" s="40"/>
      <c r="D614" s="41"/>
      <c r="G614" s="42"/>
      <c r="H614" s="42"/>
      <c r="I614" s="42"/>
    </row>
    <row r="615">
      <c r="A615" s="40"/>
      <c r="D615" s="41"/>
      <c r="G615" s="42"/>
      <c r="H615" s="42"/>
      <c r="I615" s="42"/>
    </row>
    <row r="616">
      <c r="A616" s="40"/>
      <c r="D616" s="41"/>
      <c r="G616" s="42"/>
      <c r="H616" s="42"/>
      <c r="I616" s="42"/>
    </row>
    <row r="617">
      <c r="A617" s="40"/>
      <c r="D617" s="41"/>
      <c r="G617" s="42"/>
      <c r="H617" s="42"/>
      <c r="I617" s="42"/>
    </row>
    <row r="618">
      <c r="A618" s="40"/>
      <c r="D618" s="41"/>
      <c r="G618" s="42"/>
      <c r="H618" s="42"/>
      <c r="I618" s="42"/>
    </row>
    <row r="619">
      <c r="A619" s="40"/>
      <c r="D619" s="41"/>
      <c r="G619" s="42"/>
      <c r="H619" s="42"/>
      <c r="I619" s="42"/>
    </row>
    <row r="620">
      <c r="A620" s="40"/>
      <c r="D620" s="41"/>
      <c r="G620" s="42"/>
      <c r="H620" s="42"/>
      <c r="I620" s="42"/>
    </row>
    <row r="621">
      <c r="A621" s="40"/>
      <c r="D621" s="41"/>
      <c r="G621" s="42"/>
      <c r="H621" s="42"/>
      <c r="I621" s="42"/>
    </row>
    <row r="622">
      <c r="A622" s="40"/>
      <c r="D622" s="41"/>
      <c r="G622" s="42"/>
      <c r="H622" s="42"/>
      <c r="I622" s="42"/>
    </row>
    <row r="623">
      <c r="A623" s="40"/>
      <c r="D623" s="41"/>
      <c r="G623" s="42"/>
      <c r="H623" s="42"/>
      <c r="I623" s="42"/>
    </row>
    <row r="624">
      <c r="A624" s="40"/>
      <c r="D624" s="41"/>
      <c r="G624" s="42"/>
      <c r="H624" s="42"/>
      <c r="I624" s="42"/>
    </row>
    <row r="625">
      <c r="A625" s="40"/>
      <c r="D625" s="41"/>
      <c r="G625" s="42"/>
      <c r="H625" s="42"/>
      <c r="I625" s="42"/>
    </row>
    <row r="626">
      <c r="A626" s="40"/>
      <c r="D626" s="41"/>
      <c r="G626" s="42"/>
      <c r="H626" s="42"/>
      <c r="I626" s="42"/>
    </row>
    <row r="627">
      <c r="A627" s="40"/>
      <c r="D627" s="41"/>
      <c r="G627" s="42"/>
      <c r="H627" s="42"/>
      <c r="I627" s="42"/>
    </row>
    <row r="628">
      <c r="A628" s="40"/>
      <c r="D628" s="41"/>
      <c r="G628" s="42"/>
      <c r="H628" s="42"/>
      <c r="I628" s="42"/>
    </row>
    <row r="629">
      <c r="A629" s="40"/>
      <c r="D629" s="41"/>
      <c r="G629" s="42"/>
      <c r="H629" s="42"/>
      <c r="I629" s="42"/>
    </row>
    <row r="630">
      <c r="A630" s="40"/>
      <c r="D630" s="41"/>
      <c r="G630" s="42"/>
      <c r="H630" s="42"/>
      <c r="I630" s="42"/>
    </row>
    <row r="631">
      <c r="A631" s="40"/>
      <c r="D631" s="41"/>
      <c r="G631" s="42"/>
      <c r="H631" s="42"/>
      <c r="I631" s="42"/>
    </row>
    <row r="632">
      <c r="A632" s="40"/>
      <c r="D632" s="41"/>
      <c r="G632" s="42"/>
      <c r="H632" s="42"/>
      <c r="I632" s="42"/>
    </row>
    <row r="633">
      <c r="A633" s="40"/>
      <c r="D633" s="41"/>
      <c r="G633" s="42"/>
      <c r="H633" s="42"/>
      <c r="I633" s="42"/>
    </row>
    <row r="634">
      <c r="A634" s="40"/>
      <c r="D634" s="41"/>
      <c r="G634" s="42"/>
      <c r="H634" s="42"/>
      <c r="I634" s="42"/>
    </row>
    <row r="635">
      <c r="A635" s="40"/>
      <c r="D635" s="41"/>
      <c r="G635" s="42"/>
      <c r="H635" s="42"/>
      <c r="I635" s="42"/>
    </row>
    <row r="636">
      <c r="A636" s="40"/>
      <c r="D636" s="41"/>
      <c r="G636" s="42"/>
      <c r="H636" s="42"/>
      <c r="I636" s="42"/>
    </row>
    <row r="637">
      <c r="A637" s="40"/>
      <c r="D637" s="41"/>
      <c r="G637" s="42"/>
      <c r="H637" s="42"/>
      <c r="I637" s="42"/>
    </row>
    <row r="638">
      <c r="A638" s="40"/>
      <c r="D638" s="41"/>
      <c r="G638" s="42"/>
      <c r="H638" s="42"/>
      <c r="I638" s="42"/>
    </row>
    <row r="639">
      <c r="A639" s="40"/>
      <c r="D639" s="41"/>
      <c r="G639" s="42"/>
      <c r="H639" s="42"/>
      <c r="I639" s="42"/>
    </row>
    <row r="640">
      <c r="A640" s="40"/>
      <c r="D640" s="41"/>
      <c r="G640" s="42"/>
      <c r="H640" s="42"/>
      <c r="I640" s="42"/>
    </row>
    <row r="641">
      <c r="A641" s="40"/>
      <c r="D641" s="41"/>
      <c r="G641" s="42"/>
      <c r="H641" s="42"/>
      <c r="I641" s="42"/>
    </row>
    <row r="642">
      <c r="A642" s="40"/>
      <c r="D642" s="41"/>
      <c r="G642" s="42"/>
      <c r="H642" s="42"/>
      <c r="I642" s="42"/>
    </row>
    <row r="643">
      <c r="A643" s="40"/>
      <c r="D643" s="41"/>
      <c r="G643" s="42"/>
      <c r="H643" s="42"/>
      <c r="I643" s="42"/>
    </row>
    <row r="644">
      <c r="A644" s="40"/>
      <c r="D644" s="41"/>
      <c r="G644" s="42"/>
      <c r="H644" s="42"/>
      <c r="I644" s="42"/>
    </row>
    <row r="645">
      <c r="A645" s="40"/>
      <c r="D645" s="41"/>
      <c r="G645" s="42"/>
      <c r="H645" s="42"/>
      <c r="I645" s="42"/>
    </row>
    <row r="646">
      <c r="A646" s="40"/>
      <c r="D646" s="41"/>
      <c r="G646" s="42"/>
      <c r="H646" s="42"/>
      <c r="I646" s="42"/>
    </row>
    <row r="647">
      <c r="A647" s="40"/>
      <c r="D647" s="41"/>
      <c r="G647" s="42"/>
      <c r="H647" s="42"/>
      <c r="I647" s="42"/>
    </row>
    <row r="648">
      <c r="A648" s="40"/>
      <c r="D648" s="41"/>
      <c r="G648" s="42"/>
      <c r="H648" s="42"/>
      <c r="I648" s="42"/>
    </row>
    <row r="649">
      <c r="A649" s="40"/>
      <c r="D649" s="41"/>
      <c r="G649" s="42"/>
      <c r="H649" s="42"/>
      <c r="I649" s="42"/>
    </row>
    <row r="650">
      <c r="A650" s="40"/>
      <c r="D650" s="41"/>
      <c r="G650" s="42"/>
      <c r="H650" s="42"/>
      <c r="I650" s="42"/>
    </row>
    <row r="651">
      <c r="A651" s="40"/>
      <c r="D651" s="41"/>
      <c r="G651" s="42"/>
      <c r="H651" s="42"/>
      <c r="I651" s="42"/>
    </row>
    <row r="652">
      <c r="A652" s="40"/>
      <c r="D652" s="41"/>
      <c r="G652" s="42"/>
      <c r="H652" s="42"/>
      <c r="I652" s="42"/>
    </row>
    <row r="653">
      <c r="A653" s="40"/>
      <c r="D653" s="41"/>
      <c r="G653" s="42"/>
      <c r="H653" s="42"/>
      <c r="I653" s="42"/>
    </row>
    <row r="654">
      <c r="A654" s="40"/>
      <c r="D654" s="41"/>
      <c r="G654" s="42"/>
      <c r="H654" s="42"/>
      <c r="I654" s="42"/>
    </row>
    <row r="655">
      <c r="A655" s="40"/>
      <c r="D655" s="41"/>
      <c r="G655" s="42"/>
      <c r="H655" s="42"/>
      <c r="I655" s="42"/>
    </row>
    <row r="656">
      <c r="A656" s="40"/>
      <c r="D656" s="41"/>
      <c r="G656" s="42"/>
      <c r="H656" s="42"/>
      <c r="I656" s="42"/>
    </row>
    <row r="657">
      <c r="A657" s="40"/>
      <c r="D657" s="41"/>
      <c r="G657" s="42"/>
      <c r="H657" s="42"/>
      <c r="I657" s="42"/>
    </row>
    <row r="658">
      <c r="A658" s="40"/>
      <c r="D658" s="41"/>
      <c r="G658" s="42"/>
      <c r="H658" s="42"/>
      <c r="I658" s="42"/>
    </row>
    <row r="659">
      <c r="A659" s="40"/>
      <c r="D659" s="41"/>
      <c r="G659" s="42"/>
      <c r="H659" s="42"/>
      <c r="I659" s="42"/>
    </row>
    <row r="660">
      <c r="A660" s="40"/>
      <c r="D660" s="41"/>
      <c r="G660" s="42"/>
      <c r="H660" s="42"/>
      <c r="I660" s="42"/>
    </row>
    <row r="661">
      <c r="A661" s="40"/>
      <c r="D661" s="41"/>
      <c r="G661" s="42"/>
      <c r="H661" s="42"/>
      <c r="I661" s="42"/>
    </row>
    <row r="662">
      <c r="A662" s="40"/>
      <c r="D662" s="41"/>
      <c r="G662" s="42"/>
      <c r="H662" s="42"/>
      <c r="I662" s="42"/>
    </row>
    <row r="663">
      <c r="A663" s="40"/>
      <c r="D663" s="41"/>
      <c r="G663" s="42"/>
      <c r="H663" s="42"/>
      <c r="I663" s="42"/>
    </row>
    <row r="664">
      <c r="A664" s="40"/>
      <c r="D664" s="41"/>
      <c r="G664" s="42"/>
      <c r="H664" s="42"/>
      <c r="I664" s="42"/>
    </row>
    <row r="665">
      <c r="A665" s="40"/>
      <c r="D665" s="41"/>
      <c r="G665" s="42"/>
      <c r="H665" s="42"/>
      <c r="I665" s="42"/>
    </row>
    <row r="666">
      <c r="A666" s="40"/>
      <c r="D666" s="41"/>
      <c r="G666" s="42"/>
      <c r="H666" s="42"/>
      <c r="I666" s="42"/>
    </row>
    <row r="667">
      <c r="A667" s="40"/>
      <c r="D667" s="41"/>
      <c r="G667" s="42"/>
      <c r="H667" s="42"/>
      <c r="I667" s="42"/>
    </row>
    <row r="668">
      <c r="A668" s="40"/>
      <c r="D668" s="41"/>
      <c r="G668" s="42"/>
      <c r="H668" s="42"/>
      <c r="I668" s="42"/>
    </row>
    <row r="669">
      <c r="A669" s="40"/>
      <c r="D669" s="41"/>
      <c r="G669" s="42"/>
      <c r="H669" s="42"/>
      <c r="I669" s="42"/>
    </row>
    <row r="670">
      <c r="A670" s="40"/>
      <c r="D670" s="41"/>
      <c r="G670" s="42"/>
      <c r="H670" s="42"/>
      <c r="I670" s="42"/>
    </row>
    <row r="671">
      <c r="A671" s="40"/>
      <c r="D671" s="41"/>
      <c r="G671" s="42"/>
      <c r="H671" s="42"/>
      <c r="I671" s="42"/>
    </row>
    <row r="672">
      <c r="A672" s="40"/>
      <c r="D672" s="41"/>
      <c r="G672" s="42"/>
      <c r="H672" s="42"/>
      <c r="I672" s="42"/>
    </row>
    <row r="673">
      <c r="A673" s="40"/>
      <c r="D673" s="41"/>
      <c r="G673" s="42"/>
      <c r="H673" s="42"/>
      <c r="I673" s="42"/>
    </row>
    <row r="674">
      <c r="A674" s="40"/>
      <c r="D674" s="41"/>
      <c r="G674" s="42"/>
      <c r="H674" s="42"/>
      <c r="I674" s="42"/>
    </row>
    <row r="675">
      <c r="A675" s="40"/>
      <c r="D675" s="41"/>
      <c r="G675" s="42"/>
      <c r="H675" s="42"/>
      <c r="I675" s="42"/>
    </row>
    <row r="676">
      <c r="A676" s="40"/>
      <c r="D676" s="41"/>
      <c r="G676" s="42"/>
      <c r="H676" s="42"/>
      <c r="I676" s="42"/>
    </row>
    <row r="677">
      <c r="A677" s="40"/>
      <c r="D677" s="41"/>
      <c r="G677" s="42"/>
      <c r="H677" s="42"/>
      <c r="I677" s="42"/>
    </row>
    <row r="678">
      <c r="A678" s="40"/>
      <c r="D678" s="41"/>
      <c r="G678" s="42"/>
      <c r="H678" s="42"/>
      <c r="I678" s="42"/>
    </row>
    <row r="679">
      <c r="A679" s="40"/>
      <c r="D679" s="41"/>
      <c r="G679" s="42"/>
      <c r="H679" s="42"/>
      <c r="I679" s="42"/>
    </row>
    <row r="680">
      <c r="A680" s="40"/>
      <c r="D680" s="41"/>
      <c r="G680" s="42"/>
      <c r="H680" s="42"/>
      <c r="I680" s="42"/>
    </row>
    <row r="681">
      <c r="A681" s="40"/>
      <c r="D681" s="41"/>
      <c r="G681" s="42"/>
      <c r="H681" s="42"/>
      <c r="I681" s="42"/>
    </row>
    <row r="682">
      <c r="A682" s="40"/>
      <c r="D682" s="41"/>
      <c r="G682" s="42"/>
      <c r="H682" s="42"/>
      <c r="I682" s="42"/>
    </row>
    <row r="683">
      <c r="A683" s="40"/>
      <c r="D683" s="41"/>
      <c r="G683" s="42"/>
      <c r="H683" s="42"/>
      <c r="I683" s="42"/>
    </row>
    <row r="684">
      <c r="A684" s="40"/>
      <c r="D684" s="41"/>
      <c r="G684" s="42"/>
      <c r="H684" s="42"/>
      <c r="I684" s="42"/>
    </row>
    <row r="685">
      <c r="A685" s="40"/>
      <c r="D685" s="41"/>
      <c r="G685" s="42"/>
      <c r="H685" s="42"/>
      <c r="I685" s="42"/>
    </row>
    <row r="686">
      <c r="A686" s="40"/>
      <c r="D686" s="41"/>
      <c r="G686" s="42"/>
      <c r="H686" s="42"/>
      <c r="I686" s="42"/>
    </row>
    <row r="687">
      <c r="A687" s="40"/>
      <c r="D687" s="41"/>
      <c r="G687" s="42"/>
      <c r="H687" s="42"/>
      <c r="I687" s="42"/>
    </row>
    <row r="688">
      <c r="A688" s="40"/>
      <c r="D688" s="41"/>
      <c r="G688" s="42"/>
      <c r="H688" s="42"/>
      <c r="I688" s="42"/>
    </row>
    <row r="689">
      <c r="A689" s="40"/>
      <c r="D689" s="41"/>
      <c r="G689" s="42"/>
      <c r="H689" s="42"/>
      <c r="I689" s="42"/>
    </row>
    <row r="690">
      <c r="A690" s="40"/>
      <c r="D690" s="41"/>
      <c r="G690" s="42"/>
      <c r="H690" s="42"/>
      <c r="I690" s="42"/>
    </row>
    <row r="691">
      <c r="A691" s="40"/>
      <c r="D691" s="41"/>
      <c r="G691" s="42"/>
      <c r="H691" s="42"/>
      <c r="I691" s="42"/>
    </row>
    <row r="692">
      <c r="A692" s="40"/>
      <c r="D692" s="41"/>
      <c r="G692" s="42"/>
      <c r="H692" s="42"/>
      <c r="I692" s="42"/>
    </row>
    <row r="693">
      <c r="A693" s="40"/>
      <c r="D693" s="41"/>
      <c r="G693" s="42"/>
      <c r="H693" s="42"/>
      <c r="I693" s="42"/>
    </row>
    <row r="694">
      <c r="A694" s="40"/>
      <c r="D694" s="41"/>
      <c r="G694" s="42"/>
      <c r="H694" s="42"/>
      <c r="I694" s="42"/>
    </row>
    <row r="695">
      <c r="A695" s="40"/>
      <c r="D695" s="41"/>
      <c r="G695" s="42"/>
      <c r="H695" s="42"/>
      <c r="I695" s="42"/>
    </row>
    <row r="696">
      <c r="A696" s="40"/>
      <c r="D696" s="41"/>
      <c r="G696" s="42"/>
      <c r="H696" s="42"/>
      <c r="I696" s="42"/>
    </row>
    <row r="697">
      <c r="A697" s="40"/>
      <c r="D697" s="41"/>
      <c r="G697" s="42"/>
      <c r="H697" s="42"/>
      <c r="I697" s="42"/>
    </row>
    <row r="698">
      <c r="A698" s="40"/>
      <c r="D698" s="41"/>
      <c r="G698" s="42"/>
      <c r="H698" s="42"/>
      <c r="I698" s="42"/>
    </row>
    <row r="699">
      <c r="A699" s="40"/>
      <c r="D699" s="41"/>
      <c r="G699" s="42"/>
      <c r="H699" s="42"/>
      <c r="I699" s="42"/>
    </row>
    <row r="700">
      <c r="A700" s="40"/>
      <c r="D700" s="41"/>
      <c r="G700" s="42"/>
      <c r="H700" s="42"/>
      <c r="I700" s="42"/>
    </row>
    <row r="701">
      <c r="A701" s="40"/>
      <c r="D701" s="41"/>
      <c r="G701" s="42"/>
      <c r="H701" s="42"/>
      <c r="I701" s="42"/>
    </row>
    <row r="702">
      <c r="A702" s="40"/>
      <c r="D702" s="41"/>
      <c r="G702" s="42"/>
      <c r="H702" s="42"/>
      <c r="I702" s="42"/>
    </row>
    <row r="703">
      <c r="A703" s="40"/>
      <c r="D703" s="41"/>
      <c r="G703" s="42"/>
      <c r="H703" s="42"/>
      <c r="I703" s="42"/>
    </row>
    <row r="704">
      <c r="A704" s="40"/>
      <c r="D704" s="41"/>
      <c r="G704" s="42"/>
      <c r="H704" s="42"/>
      <c r="I704" s="42"/>
    </row>
    <row r="705">
      <c r="A705" s="40"/>
      <c r="D705" s="41"/>
      <c r="G705" s="42"/>
      <c r="H705" s="42"/>
      <c r="I705" s="42"/>
    </row>
    <row r="706">
      <c r="A706" s="40"/>
      <c r="D706" s="41"/>
      <c r="G706" s="42"/>
      <c r="H706" s="42"/>
      <c r="I706" s="42"/>
    </row>
    <row r="707">
      <c r="A707" s="40"/>
      <c r="D707" s="41"/>
      <c r="G707" s="42"/>
      <c r="H707" s="42"/>
      <c r="I707" s="42"/>
    </row>
    <row r="708">
      <c r="A708" s="40"/>
      <c r="D708" s="41"/>
      <c r="G708" s="42"/>
      <c r="H708" s="42"/>
      <c r="I708" s="42"/>
    </row>
    <row r="709">
      <c r="A709" s="40"/>
      <c r="D709" s="41"/>
      <c r="G709" s="42"/>
      <c r="H709" s="42"/>
      <c r="I709" s="42"/>
    </row>
    <row r="710">
      <c r="A710" s="40"/>
      <c r="D710" s="41"/>
      <c r="G710" s="42"/>
      <c r="H710" s="42"/>
      <c r="I710" s="42"/>
    </row>
    <row r="711">
      <c r="A711" s="40"/>
      <c r="D711" s="41"/>
      <c r="G711" s="42"/>
      <c r="H711" s="42"/>
      <c r="I711" s="42"/>
    </row>
    <row r="712">
      <c r="A712" s="40"/>
      <c r="D712" s="41"/>
      <c r="G712" s="42"/>
      <c r="H712" s="42"/>
      <c r="I712" s="42"/>
    </row>
    <row r="713">
      <c r="A713" s="40"/>
      <c r="D713" s="41"/>
      <c r="G713" s="42"/>
      <c r="H713" s="42"/>
      <c r="I713" s="42"/>
    </row>
    <row r="714">
      <c r="A714" s="40"/>
      <c r="D714" s="41"/>
      <c r="G714" s="42"/>
      <c r="H714" s="42"/>
      <c r="I714" s="42"/>
    </row>
    <row r="715">
      <c r="A715" s="40"/>
      <c r="D715" s="41"/>
      <c r="G715" s="42"/>
      <c r="H715" s="42"/>
      <c r="I715" s="42"/>
    </row>
    <row r="716">
      <c r="A716" s="40"/>
      <c r="D716" s="41"/>
      <c r="G716" s="42"/>
      <c r="H716" s="42"/>
      <c r="I716" s="42"/>
    </row>
    <row r="717">
      <c r="A717" s="40"/>
      <c r="D717" s="41"/>
      <c r="G717" s="42"/>
      <c r="H717" s="42"/>
      <c r="I717" s="42"/>
    </row>
    <row r="718">
      <c r="A718" s="40"/>
      <c r="D718" s="41"/>
      <c r="G718" s="42"/>
      <c r="H718" s="42"/>
      <c r="I718" s="42"/>
    </row>
    <row r="719">
      <c r="A719" s="40"/>
      <c r="D719" s="41"/>
      <c r="G719" s="42"/>
      <c r="H719" s="42"/>
      <c r="I719" s="42"/>
    </row>
    <row r="720">
      <c r="A720" s="40"/>
      <c r="D720" s="41"/>
      <c r="G720" s="42"/>
      <c r="H720" s="42"/>
      <c r="I720" s="42"/>
    </row>
    <row r="721">
      <c r="A721" s="40"/>
      <c r="D721" s="41"/>
      <c r="G721" s="42"/>
      <c r="H721" s="42"/>
      <c r="I721" s="42"/>
    </row>
    <row r="722">
      <c r="A722" s="40"/>
      <c r="D722" s="41"/>
      <c r="G722" s="42"/>
      <c r="H722" s="42"/>
      <c r="I722" s="42"/>
    </row>
    <row r="723">
      <c r="A723" s="40"/>
      <c r="D723" s="41"/>
      <c r="G723" s="42"/>
      <c r="H723" s="42"/>
      <c r="I723" s="42"/>
    </row>
    <row r="724">
      <c r="A724" s="40"/>
      <c r="D724" s="41"/>
      <c r="G724" s="42"/>
      <c r="H724" s="42"/>
      <c r="I724" s="42"/>
    </row>
    <row r="725">
      <c r="A725" s="40"/>
      <c r="D725" s="41"/>
      <c r="G725" s="42"/>
      <c r="H725" s="42"/>
      <c r="I725" s="42"/>
    </row>
    <row r="726">
      <c r="A726" s="40"/>
      <c r="D726" s="41"/>
      <c r="G726" s="42"/>
      <c r="H726" s="42"/>
      <c r="I726" s="42"/>
    </row>
    <row r="727">
      <c r="A727" s="40"/>
      <c r="D727" s="41"/>
      <c r="G727" s="42"/>
      <c r="H727" s="42"/>
      <c r="I727" s="42"/>
    </row>
    <row r="728">
      <c r="A728" s="40"/>
      <c r="D728" s="41"/>
      <c r="G728" s="42"/>
      <c r="H728" s="42"/>
      <c r="I728" s="42"/>
    </row>
    <row r="729">
      <c r="A729" s="40"/>
      <c r="D729" s="41"/>
      <c r="G729" s="42"/>
      <c r="H729" s="42"/>
      <c r="I729" s="42"/>
    </row>
    <row r="730">
      <c r="A730" s="40"/>
      <c r="D730" s="41"/>
      <c r="G730" s="42"/>
      <c r="H730" s="42"/>
      <c r="I730" s="42"/>
    </row>
    <row r="731">
      <c r="A731" s="40"/>
      <c r="D731" s="41"/>
      <c r="G731" s="42"/>
      <c r="H731" s="42"/>
      <c r="I731" s="42"/>
    </row>
    <row r="732">
      <c r="A732" s="40"/>
      <c r="D732" s="41"/>
      <c r="G732" s="42"/>
      <c r="H732" s="42"/>
      <c r="I732" s="42"/>
    </row>
    <row r="733">
      <c r="A733" s="40"/>
      <c r="D733" s="41"/>
      <c r="G733" s="42"/>
      <c r="H733" s="42"/>
      <c r="I733" s="42"/>
    </row>
    <row r="734">
      <c r="A734" s="40"/>
      <c r="D734" s="41"/>
      <c r="G734" s="42"/>
      <c r="H734" s="42"/>
      <c r="I734" s="42"/>
    </row>
    <row r="735">
      <c r="A735" s="40"/>
      <c r="D735" s="41"/>
      <c r="G735" s="42"/>
      <c r="H735" s="42"/>
      <c r="I735" s="42"/>
    </row>
    <row r="736">
      <c r="A736" s="40"/>
      <c r="D736" s="41"/>
      <c r="G736" s="42"/>
      <c r="H736" s="42"/>
      <c r="I736" s="42"/>
    </row>
    <row r="737">
      <c r="A737" s="40"/>
      <c r="D737" s="41"/>
      <c r="G737" s="42"/>
      <c r="H737" s="42"/>
      <c r="I737" s="42"/>
    </row>
    <row r="738">
      <c r="A738" s="40"/>
      <c r="D738" s="41"/>
      <c r="G738" s="42"/>
      <c r="H738" s="42"/>
      <c r="I738" s="42"/>
    </row>
    <row r="739">
      <c r="A739" s="40"/>
      <c r="D739" s="41"/>
      <c r="G739" s="42"/>
      <c r="H739" s="42"/>
      <c r="I739" s="42"/>
    </row>
    <row r="740">
      <c r="A740" s="40"/>
      <c r="D740" s="41"/>
      <c r="G740" s="42"/>
      <c r="H740" s="42"/>
      <c r="I740" s="42"/>
    </row>
    <row r="741">
      <c r="A741" s="40"/>
      <c r="D741" s="41"/>
      <c r="G741" s="42"/>
      <c r="H741" s="42"/>
      <c r="I741" s="42"/>
    </row>
    <row r="742">
      <c r="A742" s="40"/>
      <c r="D742" s="41"/>
      <c r="G742" s="42"/>
      <c r="H742" s="42"/>
      <c r="I742" s="42"/>
    </row>
    <row r="743">
      <c r="A743" s="40"/>
      <c r="D743" s="41"/>
      <c r="G743" s="42"/>
      <c r="H743" s="42"/>
      <c r="I743" s="42"/>
    </row>
    <row r="744">
      <c r="A744" s="40"/>
      <c r="D744" s="41"/>
      <c r="G744" s="42"/>
      <c r="H744" s="42"/>
      <c r="I744" s="42"/>
    </row>
    <row r="745">
      <c r="A745" s="40"/>
      <c r="D745" s="41"/>
      <c r="G745" s="42"/>
      <c r="H745" s="42"/>
      <c r="I745" s="42"/>
    </row>
    <row r="746">
      <c r="A746" s="40"/>
      <c r="D746" s="41"/>
      <c r="G746" s="42"/>
      <c r="H746" s="42"/>
      <c r="I746" s="42"/>
    </row>
    <row r="747">
      <c r="A747" s="40"/>
      <c r="D747" s="41"/>
      <c r="G747" s="42"/>
      <c r="H747" s="42"/>
      <c r="I747" s="42"/>
    </row>
    <row r="748">
      <c r="A748" s="40"/>
      <c r="D748" s="41"/>
      <c r="G748" s="42"/>
      <c r="H748" s="42"/>
      <c r="I748" s="42"/>
    </row>
    <row r="749">
      <c r="A749" s="40"/>
      <c r="D749" s="41"/>
      <c r="G749" s="42"/>
      <c r="H749" s="42"/>
      <c r="I749" s="42"/>
    </row>
    <row r="750">
      <c r="A750" s="40"/>
      <c r="D750" s="41"/>
      <c r="G750" s="42"/>
      <c r="H750" s="42"/>
      <c r="I750" s="42"/>
    </row>
    <row r="751">
      <c r="A751" s="40"/>
      <c r="D751" s="41"/>
      <c r="G751" s="42"/>
      <c r="H751" s="42"/>
      <c r="I751" s="42"/>
    </row>
    <row r="752">
      <c r="A752" s="40"/>
      <c r="D752" s="41"/>
      <c r="G752" s="42"/>
      <c r="H752" s="42"/>
      <c r="I752" s="42"/>
    </row>
    <row r="753">
      <c r="A753" s="40"/>
      <c r="D753" s="41"/>
      <c r="G753" s="42"/>
      <c r="H753" s="42"/>
      <c r="I753" s="42"/>
    </row>
    <row r="754">
      <c r="A754" s="40"/>
      <c r="D754" s="41"/>
      <c r="G754" s="42"/>
      <c r="H754" s="42"/>
      <c r="I754" s="42"/>
    </row>
    <row r="755">
      <c r="A755" s="40"/>
      <c r="D755" s="41"/>
      <c r="G755" s="42"/>
      <c r="H755" s="42"/>
      <c r="I755" s="42"/>
    </row>
    <row r="756">
      <c r="A756" s="40"/>
      <c r="D756" s="41"/>
      <c r="G756" s="42"/>
      <c r="H756" s="42"/>
      <c r="I756" s="42"/>
    </row>
    <row r="757">
      <c r="A757" s="40"/>
      <c r="D757" s="41"/>
      <c r="G757" s="42"/>
      <c r="H757" s="42"/>
      <c r="I757" s="42"/>
    </row>
    <row r="758">
      <c r="A758" s="40"/>
      <c r="D758" s="41"/>
      <c r="G758" s="42"/>
      <c r="H758" s="42"/>
      <c r="I758" s="42"/>
    </row>
    <row r="759">
      <c r="A759" s="40"/>
      <c r="D759" s="41"/>
      <c r="G759" s="42"/>
      <c r="H759" s="42"/>
      <c r="I759" s="42"/>
    </row>
    <row r="760">
      <c r="A760" s="40"/>
      <c r="D760" s="41"/>
      <c r="G760" s="42"/>
      <c r="H760" s="42"/>
      <c r="I760" s="42"/>
    </row>
    <row r="761">
      <c r="A761" s="40"/>
      <c r="D761" s="41"/>
      <c r="G761" s="42"/>
      <c r="H761" s="42"/>
      <c r="I761" s="42"/>
    </row>
    <row r="762">
      <c r="A762" s="40"/>
      <c r="D762" s="41"/>
      <c r="G762" s="42"/>
      <c r="H762" s="42"/>
      <c r="I762" s="42"/>
    </row>
    <row r="763">
      <c r="A763" s="40"/>
      <c r="D763" s="41"/>
      <c r="G763" s="42"/>
      <c r="H763" s="42"/>
      <c r="I763" s="42"/>
    </row>
    <row r="764">
      <c r="A764" s="40"/>
      <c r="D764" s="41"/>
      <c r="G764" s="42"/>
      <c r="H764" s="42"/>
      <c r="I764" s="42"/>
    </row>
    <row r="765">
      <c r="A765" s="40"/>
      <c r="D765" s="41"/>
      <c r="G765" s="42"/>
      <c r="H765" s="42"/>
      <c r="I765" s="42"/>
    </row>
    <row r="766">
      <c r="A766" s="40"/>
      <c r="D766" s="41"/>
      <c r="G766" s="42"/>
      <c r="H766" s="42"/>
      <c r="I766" s="42"/>
    </row>
    <row r="767">
      <c r="A767" s="40"/>
      <c r="D767" s="41"/>
      <c r="G767" s="42"/>
      <c r="H767" s="42"/>
      <c r="I767" s="42"/>
    </row>
    <row r="768">
      <c r="A768" s="40"/>
      <c r="D768" s="41"/>
      <c r="G768" s="42"/>
      <c r="H768" s="42"/>
      <c r="I768" s="42"/>
    </row>
    <row r="769">
      <c r="A769" s="40"/>
      <c r="D769" s="41"/>
      <c r="G769" s="42"/>
      <c r="H769" s="42"/>
      <c r="I769" s="42"/>
    </row>
    <row r="770">
      <c r="A770" s="40"/>
      <c r="D770" s="41"/>
      <c r="G770" s="42"/>
      <c r="H770" s="42"/>
      <c r="I770" s="42"/>
    </row>
    <row r="771">
      <c r="A771" s="40"/>
      <c r="D771" s="41"/>
      <c r="G771" s="42"/>
      <c r="H771" s="42"/>
      <c r="I771" s="42"/>
    </row>
    <row r="772">
      <c r="A772" s="40"/>
      <c r="D772" s="41"/>
      <c r="G772" s="42"/>
      <c r="H772" s="42"/>
      <c r="I772" s="42"/>
    </row>
    <row r="773">
      <c r="A773" s="40"/>
      <c r="D773" s="41"/>
      <c r="G773" s="42"/>
      <c r="H773" s="42"/>
      <c r="I773" s="42"/>
    </row>
    <row r="774">
      <c r="A774" s="40"/>
      <c r="D774" s="41"/>
      <c r="G774" s="42"/>
      <c r="H774" s="42"/>
      <c r="I774" s="42"/>
    </row>
    <row r="775">
      <c r="A775" s="40"/>
      <c r="D775" s="41"/>
      <c r="G775" s="42"/>
      <c r="H775" s="42"/>
      <c r="I775" s="42"/>
    </row>
    <row r="776">
      <c r="A776" s="40"/>
      <c r="D776" s="41"/>
      <c r="G776" s="42"/>
      <c r="H776" s="42"/>
      <c r="I776" s="42"/>
    </row>
    <row r="777">
      <c r="A777" s="40"/>
      <c r="D777" s="41"/>
      <c r="G777" s="42"/>
      <c r="H777" s="42"/>
      <c r="I777" s="42"/>
    </row>
    <row r="778">
      <c r="A778" s="40"/>
      <c r="D778" s="41"/>
      <c r="G778" s="42"/>
      <c r="H778" s="42"/>
      <c r="I778" s="42"/>
    </row>
    <row r="779">
      <c r="A779" s="40"/>
      <c r="D779" s="41"/>
      <c r="G779" s="42"/>
      <c r="H779" s="42"/>
      <c r="I779" s="42"/>
    </row>
    <row r="780">
      <c r="A780" s="40"/>
      <c r="D780" s="41"/>
      <c r="G780" s="42"/>
      <c r="H780" s="42"/>
      <c r="I780" s="42"/>
    </row>
    <row r="781">
      <c r="A781" s="40"/>
      <c r="D781" s="41"/>
      <c r="G781" s="42"/>
      <c r="H781" s="42"/>
      <c r="I781" s="42"/>
    </row>
    <row r="782">
      <c r="A782" s="40"/>
      <c r="D782" s="41"/>
      <c r="G782" s="42"/>
      <c r="H782" s="42"/>
      <c r="I782" s="42"/>
    </row>
    <row r="783">
      <c r="A783" s="40"/>
      <c r="D783" s="41"/>
      <c r="G783" s="42"/>
      <c r="H783" s="42"/>
      <c r="I783" s="42"/>
    </row>
    <row r="784">
      <c r="A784" s="40"/>
      <c r="D784" s="41"/>
      <c r="G784" s="42"/>
      <c r="H784" s="42"/>
      <c r="I784" s="42"/>
    </row>
    <row r="785">
      <c r="A785" s="40"/>
      <c r="D785" s="41"/>
      <c r="G785" s="42"/>
      <c r="H785" s="42"/>
      <c r="I785" s="42"/>
    </row>
    <row r="786">
      <c r="A786" s="40"/>
      <c r="D786" s="41"/>
      <c r="G786" s="42"/>
      <c r="H786" s="42"/>
      <c r="I786" s="42"/>
    </row>
    <row r="787">
      <c r="A787" s="40"/>
      <c r="D787" s="41"/>
      <c r="G787" s="42"/>
      <c r="H787" s="42"/>
      <c r="I787" s="42"/>
    </row>
    <row r="788">
      <c r="A788" s="40"/>
      <c r="D788" s="41"/>
      <c r="G788" s="42"/>
      <c r="H788" s="42"/>
      <c r="I788" s="42"/>
    </row>
    <row r="789">
      <c r="A789" s="40"/>
      <c r="D789" s="41"/>
      <c r="G789" s="42"/>
      <c r="H789" s="42"/>
      <c r="I789" s="42"/>
    </row>
    <row r="790">
      <c r="A790" s="40"/>
      <c r="D790" s="41"/>
      <c r="G790" s="42"/>
      <c r="H790" s="42"/>
      <c r="I790" s="42"/>
    </row>
    <row r="791">
      <c r="A791" s="40"/>
      <c r="D791" s="41"/>
      <c r="G791" s="42"/>
      <c r="H791" s="42"/>
      <c r="I791" s="42"/>
    </row>
    <row r="792">
      <c r="A792" s="40"/>
      <c r="D792" s="41"/>
      <c r="G792" s="42"/>
      <c r="H792" s="42"/>
      <c r="I792" s="42"/>
    </row>
    <row r="793">
      <c r="A793" s="40"/>
      <c r="D793" s="41"/>
      <c r="G793" s="42"/>
      <c r="H793" s="42"/>
      <c r="I793" s="42"/>
    </row>
    <row r="794">
      <c r="A794" s="40"/>
      <c r="D794" s="41"/>
      <c r="G794" s="42"/>
      <c r="H794" s="42"/>
      <c r="I794" s="42"/>
    </row>
    <row r="795">
      <c r="A795" s="40"/>
      <c r="D795" s="41"/>
      <c r="G795" s="42"/>
      <c r="H795" s="42"/>
      <c r="I795" s="42"/>
    </row>
    <row r="796">
      <c r="A796" s="40"/>
      <c r="D796" s="41"/>
      <c r="G796" s="42"/>
      <c r="H796" s="42"/>
      <c r="I796" s="42"/>
    </row>
    <row r="797">
      <c r="A797" s="40"/>
      <c r="D797" s="41"/>
      <c r="G797" s="42"/>
      <c r="H797" s="42"/>
      <c r="I797" s="42"/>
    </row>
    <row r="798">
      <c r="A798" s="40"/>
      <c r="D798" s="41"/>
      <c r="G798" s="42"/>
      <c r="H798" s="42"/>
      <c r="I798" s="42"/>
    </row>
    <row r="799">
      <c r="A799" s="40"/>
      <c r="D799" s="41"/>
      <c r="G799" s="42"/>
      <c r="H799" s="42"/>
      <c r="I799" s="42"/>
    </row>
    <row r="800">
      <c r="A800" s="40"/>
      <c r="D800" s="41"/>
      <c r="G800" s="42"/>
      <c r="H800" s="42"/>
      <c r="I800" s="42"/>
    </row>
    <row r="801">
      <c r="A801" s="40"/>
      <c r="D801" s="41"/>
      <c r="G801" s="42"/>
      <c r="H801" s="42"/>
      <c r="I801" s="42"/>
    </row>
    <row r="802">
      <c r="A802" s="40"/>
      <c r="D802" s="41"/>
      <c r="G802" s="42"/>
      <c r="H802" s="42"/>
      <c r="I802" s="42"/>
    </row>
    <row r="803">
      <c r="A803" s="40"/>
      <c r="D803" s="41"/>
      <c r="G803" s="42"/>
      <c r="H803" s="42"/>
      <c r="I803" s="42"/>
    </row>
    <row r="804">
      <c r="A804" s="40"/>
      <c r="D804" s="41"/>
      <c r="G804" s="42"/>
      <c r="H804" s="42"/>
      <c r="I804" s="42"/>
    </row>
    <row r="805">
      <c r="A805" s="40"/>
      <c r="D805" s="41"/>
      <c r="G805" s="42"/>
      <c r="H805" s="42"/>
      <c r="I805" s="42"/>
    </row>
    <row r="806">
      <c r="A806" s="40"/>
      <c r="D806" s="41"/>
      <c r="G806" s="42"/>
      <c r="H806" s="42"/>
      <c r="I806" s="42"/>
    </row>
    <row r="807">
      <c r="A807" s="40"/>
      <c r="D807" s="41"/>
      <c r="G807" s="42"/>
      <c r="H807" s="42"/>
      <c r="I807" s="42"/>
    </row>
    <row r="808">
      <c r="A808" s="40"/>
      <c r="D808" s="41"/>
      <c r="G808" s="42"/>
      <c r="H808" s="42"/>
      <c r="I808" s="42"/>
    </row>
    <row r="809">
      <c r="A809" s="40"/>
      <c r="D809" s="41"/>
      <c r="G809" s="42"/>
      <c r="H809" s="42"/>
      <c r="I809" s="42"/>
    </row>
    <row r="810">
      <c r="A810" s="40"/>
      <c r="D810" s="41"/>
      <c r="G810" s="42"/>
      <c r="H810" s="42"/>
      <c r="I810" s="42"/>
    </row>
    <row r="811">
      <c r="A811" s="40"/>
      <c r="D811" s="41"/>
      <c r="G811" s="42"/>
      <c r="H811" s="42"/>
      <c r="I811" s="42"/>
    </row>
    <row r="812">
      <c r="A812" s="40"/>
      <c r="D812" s="41"/>
      <c r="G812" s="42"/>
      <c r="H812" s="42"/>
      <c r="I812" s="42"/>
    </row>
    <row r="813">
      <c r="A813" s="40"/>
      <c r="D813" s="41"/>
      <c r="G813" s="42"/>
      <c r="H813" s="42"/>
      <c r="I813" s="42"/>
    </row>
    <row r="814">
      <c r="A814" s="40"/>
      <c r="D814" s="41"/>
      <c r="G814" s="42"/>
      <c r="H814" s="42"/>
      <c r="I814" s="42"/>
    </row>
    <row r="815">
      <c r="A815" s="40"/>
      <c r="D815" s="41"/>
      <c r="G815" s="42"/>
      <c r="H815" s="42"/>
      <c r="I815" s="42"/>
    </row>
    <row r="816">
      <c r="A816" s="40"/>
      <c r="D816" s="41"/>
      <c r="G816" s="42"/>
      <c r="H816" s="42"/>
      <c r="I816" s="42"/>
    </row>
    <row r="817">
      <c r="A817" s="40"/>
      <c r="D817" s="41"/>
      <c r="G817" s="42"/>
      <c r="H817" s="42"/>
      <c r="I817" s="42"/>
    </row>
    <row r="818">
      <c r="A818" s="40"/>
      <c r="D818" s="41"/>
      <c r="G818" s="42"/>
      <c r="H818" s="42"/>
      <c r="I818" s="42"/>
    </row>
    <row r="819">
      <c r="A819" s="40"/>
      <c r="D819" s="41"/>
      <c r="G819" s="42"/>
      <c r="H819" s="42"/>
      <c r="I819" s="42"/>
    </row>
    <row r="820">
      <c r="A820" s="40"/>
      <c r="D820" s="41"/>
      <c r="G820" s="42"/>
      <c r="H820" s="42"/>
      <c r="I820" s="42"/>
    </row>
    <row r="821">
      <c r="A821" s="40"/>
      <c r="D821" s="41"/>
      <c r="G821" s="42"/>
      <c r="H821" s="42"/>
      <c r="I821" s="42"/>
    </row>
    <row r="822">
      <c r="A822" s="40"/>
      <c r="D822" s="41"/>
      <c r="G822" s="42"/>
      <c r="H822" s="42"/>
      <c r="I822" s="42"/>
    </row>
    <row r="823">
      <c r="A823" s="40"/>
      <c r="D823" s="41"/>
      <c r="G823" s="42"/>
      <c r="H823" s="42"/>
      <c r="I823" s="42"/>
    </row>
    <row r="824">
      <c r="A824" s="40"/>
      <c r="D824" s="41"/>
      <c r="G824" s="42"/>
      <c r="H824" s="42"/>
      <c r="I824" s="42"/>
    </row>
    <row r="825">
      <c r="A825" s="40"/>
      <c r="D825" s="41"/>
      <c r="G825" s="42"/>
      <c r="H825" s="42"/>
      <c r="I825" s="42"/>
    </row>
    <row r="826">
      <c r="A826" s="40"/>
      <c r="D826" s="41"/>
      <c r="G826" s="42"/>
      <c r="H826" s="42"/>
      <c r="I826" s="42"/>
    </row>
    <row r="827">
      <c r="A827" s="40"/>
      <c r="D827" s="41"/>
      <c r="G827" s="42"/>
      <c r="H827" s="42"/>
      <c r="I827" s="42"/>
    </row>
    <row r="828">
      <c r="A828" s="40"/>
      <c r="D828" s="41"/>
      <c r="G828" s="42"/>
      <c r="H828" s="42"/>
      <c r="I828" s="42"/>
    </row>
    <row r="829">
      <c r="A829" s="40"/>
      <c r="D829" s="41"/>
      <c r="G829" s="42"/>
      <c r="H829" s="42"/>
      <c r="I829" s="42"/>
    </row>
    <row r="830">
      <c r="A830" s="40"/>
      <c r="D830" s="41"/>
      <c r="G830" s="42"/>
      <c r="H830" s="42"/>
      <c r="I830" s="42"/>
    </row>
    <row r="831">
      <c r="A831" s="40"/>
      <c r="D831" s="41"/>
      <c r="G831" s="42"/>
      <c r="H831" s="42"/>
      <c r="I831" s="42"/>
    </row>
    <row r="832">
      <c r="A832" s="40"/>
      <c r="D832" s="41"/>
      <c r="G832" s="42"/>
      <c r="H832" s="42"/>
      <c r="I832" s="42"/>
    </row>
    <row r="833">
      <c r="A833" s="40"/>
      <c r="D833" s="41"/>
      <c r="G833" s="42"/>
      <c r="H833" s="42"/>
      <c r="I833" s="42"/>
    </row>
    <row r="834">
      <c r="A834" s="40"/>
      <c r="D834" s="41"/>
      <c r="G834" s="42"/>
      <c r="H834" s="42"/>
      <c r="I834" s="42"/>
    </row>
    <row r="835">
      <c r="A835" s="40"/>
      <c r="D835" s="41"/>
      <c r="G835" s="42"/>
      <c r="H835" s="42"/>
      <c r="I835" s="42"/>
    </row>
    <row r="836">
      <c r="A836" s="40"/>
      <c r="D836" s="41"/>
      <c r="G836" s="42"/>
      <c r="H836" s="42"/>
      <c r="I836" s="42"/>
    </row>
    <row r="837">
      <c r="A837" s="40"/>
      <c r="D837" s="41"/>
      <c r="G837" s="42"/>
      <c r="H837" s="42"/>
      <c r="I837" s="42"/>
    </row>
    <row r="838">
      <c r="A838" s="40"/>
      <c r="D838" s="41"/>
      <c r="G838" s="42"/>
      <c r="H838" s="42"/>
      <c r="I838" s="42"/>
    </row>
    <row r="839">
      <c r="A839" s="40"/>
      <c r="D839" s="41"/>
      <c r="G839" s="42"/>
      <c r="H839" s="42"/>
      <c r="I839" s="42"/>
    </row>
    <row r="840">
      <c r="A840" s="40"/>
      <c r="D840" s="41"/>
      <c r="G840" s="42"/>
      <c r="H840" s="42"/>
      <c r="I840" s="42"/>
    </row>
    <row r="841">
      <c r="A841" s="40"/>
      <c r="D841" s="41"/>
      <c r="G841" s="42"/>
      <c r="H841" s="42"/>
      <c r="I841" s="42"/>
    </row>
    <row r="842">
      <c r="A842" s="40"/>
      <c r="D842" s="41"/>
      <c r="G842" s="42"/>
      <c r="H842" s="42"/>
      <c r="I842" s="42"/>
    </row>
    <row r="843">
      <c r="A843" s="40"/>
      <c r="D843" s="41"/>
      <c r="G843" s="42"/>
      <c r="H843" s="42"/>
      <c r="I843" s="42"/>
    </row>
    <row r="844">
      <c r="A844" s="40"/>
      <c r="D844" s="41"/>
      <c r="G844" s="42"/>
      <c r="H844" s="42"/>
      <c r="I844" s="42"/>
    </row>
    <row r="845">
      <c r="A845" s="40"/>
      <c r="D845" s="41"/>
      <c r="G845" s="42"/>
      <c r="H845" s="42"/>
      <c r="I845" s="42"/>
    </row>
    <row r="846">
      <c r="A846" s="40"/>
      <c r="D846" s="41"/>
      <c r="G846" s="42"/>
      <c r="H846" s="42"/>
      <c r="I846" s="42"/>
    </row>
    <row r="847">
      <c r="A847" s="40"/>
      <c r="D847" s="41"/>
      <c r="G847" s="42"/>
      <c r="H847" s="42"/>
      <c r="I847" s="42"/>
    </row>
    <row r="848">
      <c r="A848" s="40"/>
      <c r="D848" s="41"/>
      <c r="G848" s="42"/>
      <c r="H848" s="42"/>
      <c r="I848" s="42"/>
    </row>
    <row r="849">
      <c r="A849" s="40"/>
      <c r="D849" s="41"/>
      <c r="G849" s="42"/>
      <c r="H849" s="42"/>
      <c r="I849" s="42"/>
    </row>
    <row r="850">
      <c r="A850" s="40"/>
      <c r="D850" s="41"/>
      <c r="G850" s="42"/>
      <c r="H850" s="42"/>
      <c r="I850" s="42"/>
    </row>
    <row r="851">
      <c r="A851" s="40"/>
      <c r="D851" s="41"/>
      <c r="G851" s="42"/>
      <c r="H851" s="42"/>
      <c r="I851" s="42"/>
    </row>
    <row r="852">
      <c r="A852" s="40"/>
      <c r="D852" s="41"/>
      <c r="G852" s="42"/>
      <c r="H852" s="42"/>
      <c r="I852" s="42"/>
    </row>
    <row r="853">
      <c r="A853" s="40"/>
      <c r="D853" s="41"/>
      <c r="G853" s="42"/>
      <c r="H853" s="42"/>
      <c r="I853" s="42"/>
    </row>
    <row r="854">
      <c r="A854" s="40"/>
      <c r="D854" s="41"/>
      <c r="G854" s="42"/>
      <c r="H854" s="42"/>
      <c r="I854" s="42"/>
    </row>
    <row r="855">
      <c r="A855" s="40"/>
      <c r="D855" s="41"/>
      <c r="G855" s="42"/>
      <c r="H855" s="42"/>
      <c r="I855" s="42"/>
    </row>
    <row r="856">
      <c r="A856" s="40"/>
      <c r="D856" s="41"/>
      <c r="G856" s="42"/>
      <c r="H856" s="42"/>
      <c r="I856" s="42"/>
    </row>
    <row r="857">
      <c r="A857" s="40"/>
      <c r="D857" s="41"/>
      <c r="G857" s="42"/>
      <c r="H857" s="42"/>
      <c r="I857" s="42"/>
    </row>
    <row r="858">
      <c r="A858" s="40"/>
      <c r="D858" s="41"/>
      <c r="G858" s="42"/>
      <c r="H858" s="42"/>
      <c r="I858" s="42"/>
    </row>
    <row r="859">
      <c r="A859" s="40"/>
      <c r="D859" s="41"/>
      <c r="G859" s="42"/>
      <c r="H859" s="42"/>
      <c r="I859" s="42"/>
    </row>
    <row r="860">
      <c r="A860" s="40"/>
      <c r="D860" s="41"/>
      <c r="G860" s="42"/>
      <c r="H860" s="42"/>
      <c r="I860" s="42"/>
    </row>
    <row r="861">
      <c r="A861" s="40"/>
      <c r="D861" s="41"/>
      <c r="G861" s="42"/>
      <c r="H861" s="42"/>
      <c r="I861" s="42"/>
    </row>
    <row r="862">
      <c r="A862" s="40"/>
      <c r="D862" s="41"/>
      <c r="G862" s="42"/>
      <c r="H862" s="42"/>
      <c r="I862" s="42"/>
    </row>
    <row r="863">
      <c r="A863" s="40"/>
      <c r="D863" s="41"/>
      <c r="G863" s="42"/>
      <c r="H863" s="42"/>
      <c r="I863" s="42"/>
    </row>
    <row r="864">
      <c r="A864" s="40"/>
      <c r="D864" s="41"/>
      <c r="G864" s="42"/>
      <c r="H864" s="42"/>
      <c r="I864" s="42"/>
    </row>
    <row r="865">
      <c r="A865" s="40"/>
      <c r="D865" s="41"/>
      <c r="G865" s="42"/>
      <c r="H865" s="42"/>
      <c r="I865" s="42"/>
    </row>
    <row r="866">
      <c r="A866" s="40"/>
      <c r="D866" s="41"/>
      <c r="G866" s="42"/>
      <c r="H866" s="42"/>
      <c r="I866" s="42"/>
    </row>
    <row r="867">
      <c r="A867" s="40"/>
      <c r="D867" s="41"/>
      <c r="G867" s="42"/>
      <c r="H867" s="42"/>
      <c r="I867" s="42"/>
    </row>
    <row r="868">
      <c r="A868" s="40"/>
      <c r="D868" s="41"/>
      <c r="G868" s="42"/>
      <c r="H868" s="42"/>
      <c r="I868" s="42"/>
    </row>
    <row r="869">
      <c r="A869" s="40"/>
      <c r="D869" s="41"/>
      <c r="G869" s="42"/>
      <c r="H869" s="42"/>
      <c r="I869" s="42"/>
    </row>
    <row r="870">
      <c r="A870" s="40"/>
      <c r="D870" s="41"/>
      <c r="G870" s="42"/>
      <c r="H870" s="42"/>
      <c r="I870" s="42"/>
    </row>
    <row r="871">
      <c r="A871" s="40"/>
      <c r="D871" s="41"/>
      <c r="G871" s="42"/>
      <c r="H871" s="42"/>
      <c r="I871" s="42"/>
    </row>
    <row r="872">
      <c r="A872" s="40"/>
      <c r="D872" s="41"/>
      <c r="G872" s="42"/>
      <c r="H872" s="42"/>
      <c r="I872" s="42"/>
    </row>
    <row r="873">
      <c r="A873" s="40"/>
      <c r="D873" s="41"/>
      <c r="G873" s="42"/>
      <c r="H873" s="42"/>
      <c r="I873" s="42"/>
    </row>
    <row r="874">
      <c r="A874" s="40"/>
      <c r="D874" s="41"/>
      <c r="G874" s="42"/>
      <c r="H874" s="42"/>
      <c r="I874" s="42"/>
    </row>
    <row r="875">
      <c r="A875" s="40"/>
      <c r="D875" s="41"/>
      <c r="G875" s="42"/>
      <c r="H875" s="42"/>
      <c r="I875" s="42"/>
    </row>
    <row r="876">
      <c r="A876" s="40"/>
      <c r="D876" s="41"/>
      <c r="G876" s="42"/>
      <c r="H876" s="42"/>
      <c r="I876" s="42"/>
    </row>
    <row r="877">
      <c r="A877" s="40"/>
      <c r="D877" s="41"/>
      <c r="G877" s="42"/>
      <c r="H877" s="42"/>
      <c r="I877" s="42"/>
    </row>
    <row r="878">
      <c r="A878" s="40"/>
      <c r="D878" s="41"/>
      <c r="G878" s="42"/>
      <c r="H878" s="42"/>
      <c r="I878" s="42"/>
    </row>
    <row r="879">
      <c r="A879" s="40"/>
      <c r="D879" s="41"/>
      <c r="G879" s="42"/>
      <c r="H879" s="42"/>
      <c r="I879" s="42"/>
    </row>
    <row r="880">
      <c r="A880" s="40"/>
      <c r="D880" s="41"/>
      <c r="G880" s="42"/>
      <c r="H880" s="42"/>
      <c r="I880" s="42"/>
    </row>
    <row r="881">
      <c r="A881" s="40"/>
      <c r="D881" s="41"/>
      <c r="G881" s="42"/>
      <c r="H881" s="42"/>
      <c r="I881" s="42"/>
    </row>
    <row r="882">
      <c r="A882" s="40"/>
      <c r="D882" s="41"/>
      <c r="G882" s="42"/>
      <c r="H882" s="42"/>
      <c r="I882" s="42"/>
    </row>
    <row r="883">
      <c r="A883" s="40"/>
      <c r="D883" s="41"/>
      <c r="G883" s="42"/>
      <c r="H883" s="42"/>
      <c r="I883" s="42"/>
    </row>
    <row r="884">
      <c r="A884" s="40"/>
      <c r="D884" s="41"/>
      <c r="G884" s="42"/>
      <c r="H884" s="42"/>
      <c r="I884" s="42"/>
    </row>
    <row r="885">
      <c r="A885" s="40"/>
      <c r="D885" s="41"/>
      <c r="G885" s="42"/>
      <c r="H885" s="42"/>
      <c r="I885" s="42"/>
    </row>
    <row r="886">
      <c r="A886" s="40"/>
      <c r="D886" s="41"/>
      <c r="G886" s="42"/>
      <c r="H886" s="42"/>
      <c r="I886" s="42"/>
    </row>
    <row r="887">
      <c r="A887" s="40"/>
      <c r="D887" s="41"/>
      <c r="G887" s="42"/>
      <c r="H887" s="42"/>
      <c r="I887" s="42"/>
    </row>
    <row r="888">
      <c r="A888" s="40"/>
      <c r="D888" s="41"/>
      <c r="G888" s="42"/>
      <c r="H888" s="42"/>
      <c r="I888" s="42"/>
    </row>
    <row r="889">
      <c r="A889" s="40"/>
      <c r="D889" s="41"/>
      <c r="G889" s="42"/>
      <c r="H889" s="42"/>
      <c r="I889" s="42"/>
    </row>
    <row r="890">
      <c r="A890" s="40"/>
      <c r="D890" s="41"/>
      <c r="G890" s="42"/>
      <c r="H890" s="42"/>
      <c r="I890" s="42"/>
    </row>
    <row r="891">
      <c r="A891" s="40"/>
      <c r="D891" s="41"/>
      <c r="G891" s="42"/>
      <c r="H891" s="42"/>
      <c r="I891" s="42"/>
    </row>
    <row r="892">
      <c r="A892" s="40"/>
      <c r="D892" s="41"/>
      <c r="G892" s="42"/>
      <c r="H892" s="42"/>
      <c r="I892" s="42"/>
    </row>
    <row r="893">
      <c r="A893" s="40"/>
      <c r="D893" s="41"/>
      <c r="G893" s="42"/>
      <c r="H893" s="42"/>
      <c r="I893" s="42"/>
    </row>
    <row r="894">
      <c r="A894" s="40"/>
      <c r="D894" s="41"/>
      <c r="G894" s="42"/>
      <c r="H894" s="42"/>
      <c r="I894" s="42"/>
    </row>
    <row r="895">
      <c r="A895" s="40"/>
      <c r="D895" s="41"/>
      <c r="G895" s="42"/>
      <c r="H895" s="42"/>
      <c r="I895" s="42"/>
    </row>
    <row r="896">
      <c r="A896" s="40"/>
      <c r="D896" s="41"/>
      <c r="G896" s="42"/>
      <c r="H896" s="42"/>
      <c r="I896" s="42"/>
    </row>
    <row r="897">
      <c r="A897" s="40"/>
      <c r="D897" s="41"/>
      <c r="G897" s="42"/>
      <c r="H897" s="42"/>
      <c r="I897" s="42"/>
    </row>
    <row r="898">
      <c r="A898" s="40"/>
      <c r="D898" s="41"/>
      <c r="G898" s="42"/>
      <c r="H898" s="42"/>
      <c r="I898" s="42"/>
    </row>
    <row r="899">
      <c r="A899" s="40"/>
      <c r="D899" s="41"/>
      <c r="G899" s="42"/>
      <c r="H899" s="42"/>
      <c r="I899" s="42"/>
    </row>
    <row r="900">
      <c r="A900" s="40"/>
      <c r="D900" s="41"/>
      <c r="G900" s="42"/>
      <c r="H900" s="42"/>
      <c r="I900" s="42"/>
    </row>
    <row r="901">
      <c r="A901" s="40"/>
      <c r="D901" s="41"/>
      <c r="G901" s="42"/>
      <c r="H901" s="42"/>
      <c r="I901" s="42"/>
    </row>
    <row r="902">
      <c r="A902" s="40"/>
      <c r="D902" s="41"/>
      <c r="G902" s="42"/>
      <c r="H902" s="42"/>
      <c r="I902" s="42"/>
    </row>
    <row r="903">
      <c r="A903" s="40"/>
      <c r="D903" s="41"/>
      <c r="G903" s="42"/>
      <c r="H903" s="42"/>
      <c r="I903" s="42"/>
    </row>
    <row r="904">
      <c r="A904" s="40"/>
      <c r="D904" s="41"/>
      <c r="G904" s="42"/>
      <c r="H904" s="42"/>
      <c r="I904" s="42"/>
    </row>
    <row r="905">
      <c r="A905" s="40"/>
      <c r="D905" s="41"/>
      <c r="G905" s="42"/>
      <c r="H905" s="42"/>
      <c r="I905" s="42"/>
    </row>
    <row r="906">
      <c r="A906" s="40"/>
      <c r="D906" s="41"/>
      <c r="G906" s="42"/>
      <c r="H906" s="42"/>
      <c r="I906" s="42"/>
    </row>
    <row r="907">
      <c r="A907" s="40"/>
      <c r="D907" s="41"/>
      <c r="G907" s="42"/>
      <c r="H907" s="42"/>
      <c r="I907" s="42"/>
    </row>
    <row r="908">
      <c r="A908" s="40"/>
      <c r="D908" s="41"/>
      <c r="G908" s="42"/>
      <c r="H908" s="42"/>
      <c r="I908" s="42"/>
    </row>
    <row r="909">
      <c r="A909" s="40"/>
      <c r="D909" s="41"/>
      <c r="G909" s="42"/>
      <c r="H909" s="42"/>
      <c r="I909" s="42"/>
    </row>
    <row r="910">
      <c r="A910" s="40"/>
      <c r="D910" s="41"/>
      <c r="G910" s="42"/>
      <c r="H910" s="42"/>
      <c r="I910" s="42"/>
    </row>
    <row r="911">
      <c r="A911" s="40"/>
      <c r="D911" s="41"/>
      <c r="G911" s="42"/>
      <c r="H911" s="42"/>
      <c r="I911" s="42"/>
    </row>
    <row r="912">
      <c r="A912" s="40"/>
      <c r="D912" s="41"/>
      <c r="G912" s="42"/>
      <c r="H912" s="42"/>
      <c r="I912" s="42"/>
    </row>
    <row r="913">
      <c r="A913" s="40"/>
      <c r="D913" s="41"/>
      <c r="G913" s="42"/>
      <c r="H913" s="42"/>
      <c r="I913" s="42"/>
    </row>
    <row r="914">
      <c r="A914" s="40"/>
      <c r="D914" s="41"/>
      <c r="G914" s="42"/>
      <c r="H914" s="42"/>
      <c r="I914" s="42"/>
    </row>
    <row r="915">
      <c r="A915" s="40"/>
      <c r="D915" s="41"/>
      <c r="G915" s="42"/>
      <c r="H915" s="42"/>
      <c r="I915" s="42"/>
    </row>
    <row r="916">
      <c r="A916" s="40"/>
      <c r="D916" s="41"/>
      <c r="G916" s="42"/>
      <c r="H916" s="42"/>
      <c r="I916" s="42"/>
    </row>
    <row r="917">
      <c r="A917" s="40"/>
      <c r="D917" s="41"/>
      <c r="G917" s="42"/>
      <c r="H917" s="42"/>
      <c r="I917" s="42"/>
    </row>
    <row r="918">
      <c r="A918" s="40"/>
      <c r="D918" s="41"/>
      <c r="G918" s="42"/>
      <c r="H918" s="42"/>
      <c r="I918" s="42"/>
    </row>
    <row r="919">
      <c r="A919" s="40"/>
      <c r="D919" s="41"/>
      <c r="G919" s="42"/>
      <c r="H919" s="42"/>
      <c r="I919" s="42"/>
    </row>
    <row r="920">
      <c r="A920" s="40"/>
      <c r="D920" s="41"/>
      <c r="G920" s="42"/>
      <c r="H920" s="42"/>
      <c r="I920" s="42"/>
    </row>
    <row r="921">
      <c r="A921" s="40"/>
      <c r="D921" s="41"/>
      <c r="G921" s="42"/>
      <c r="H921" s="42"/>
      <c r="I921" s="42"/>
    </row>
    <row r="922">
      <c r="A922" s="40"/>
      <c r="D922" s="41"/>
      <c r="G922" s="42"/>
      <c r="H922" s="42"/>
      <c r="I922" s="42"/>
    </row>
    <row r="923">
      <c r="A923" s="40"/>
      <c r="D923" s="41"/>
      <c r="G923" s="42"/>
      <c r="H923" s="42"/>
      <c r="I923" s="42"/>
    </row>
    <row r="924">
      <c r="A924" s="40"/>
      <c r="D924" s="41"/>
      <c r="G924" s="42"/>
      <c r="H924" s="42"/>
      <c r="I924" s="42"/>
    </row>
    <row r="925">
      <c r="A925" s="40"/>
      <c r="D925" s="41"/>
      <c r="G925" s="42"/>
      <c r="H925" s="42"/>
      <c r="I925" s="42"/>
    </row>
    <row r="926">
      <c r="A926" s="40"/>
      <c r="D926" s="41"/>
      <c r="G926" s="42"/>
      <c r="H926" s="42"/>
      <c r="I926" s="42"/>
    </row>
    <row r="927">
      <c r="A927" s="40"/>
      <c r="D927" s="41"/>
      <c r="G927" s="42"/>
      <c r="H927" s="42"/>
      <c r="I927" s="42"/>
    </row>
    <row r="928">
      <c r="A928" s="40"/>
      <c r="D928" s="41"/>
      <c r="G928" s="42"/>
      <c r="H928" s="42"/>
      <c r="I928" s="42"/>
    </row>
    <row r="929">
      <c r="A929" s="40"/>
      <c r="D929" s="41"/>
      <c r="G929" s="42"/>
      <c r="H929" s="42"/>
      <c r="I929" s="42"/>
    </row>
    <row r="930">
      <c r="A930" s="40"/>
      <c r="D930" s="41"/>
      <c r="G930" s="42"/>
      <c r="H930" s="42"/>
      <c r="I930" s="42"/>
    </row>
    <row r="931">
      <c r="A931" s="40"/>
      <c r="D931" s="41"/>
      <c r="G931" s="42"/>
      <c r="H931" s="42"/>
      <c r="I931" s="42"/>
    </row>
    <row r="932">
      <c r="A932" s="40"/>
      <c r="D932" s="41"/>
      <c r="G932" s="42"/>
      <c r="H932" s="42"/>
      <c r="I932" s="42"/>
    </row>
    <row r="933">
      <c r="A933" s="40"/>
      <c r="D933" s="41"/>
      <c r="G933" s="42"/>
      <c r="H933" s="42"/>
      <c r="I933" s="42"/>
    </row>
    <row r="934">
      <c r="A934" s="40"/>
      <c r="D934" s="41"/>
      <c r="G934" s="42"/>
      <c r="H934" s="42"/>
      <c r="I934" s="42"/>
    </row>
    <row r="935">
      <c r="A935" s="40"/>
      <c r="D935" s="41"/>
      <c r="G935" s="42"/>
      <c r="H935" s="42"/>
      <c r="I935" s="42"/>
    </row>
    <row r="936">
      <c r="A936" s="40"/>
      <c r="D936" s="41"/>
      <c r="G936" s="42"/>
      <c r="H936" s="42"/>
      <c r="I936" s="42"/>
    </row>
    <row r="937">
      <c r="A937" s="40"/>
      <c r="D937" s="41"/>
      <c r="G937" s="42"/>
      <c r="H937" s="42"/>
      <c r="I937" s="42"/>
    </row>
    <row r="938">
      <c r="A938" s="40"/>
      <c r="D938" s="41"/>
      <c r="G938" s="42"/>
      <c r="H938" s="42"/>
      <c r="I938" s="42"/>
    </row>
    <row r="939">
      <c r="A939" s="40"/>
      <c r="D939" s="41"/>
      <c r="G939" s="42"/>
      <c r="H939" s="42"/>
      <c r="I939" s="42"/>
    </row>
    <row r="940">
      <c r="A940" s="40"/>
      <c r="D940" s="41"/>
      <c r="G940" s="42"/>
      <c r="H940" s="42"/>
      <c r="I940" s="42"/>
    </row>
    <row r="941">
      <c r="A941" s="40"/>
      <c r="D941" s="41"/>
      <c r="G941" s="42"/>
      <c r="H941" s="42"/>
      <c r="I941" s="42"/>
    </row>
    <row r="942">
      <c r="A942" s="40"/>
      <c r="D942" s="41"/>
      <c r="G942" s="42"/>
      <c r="H942" s="42"/>
      <c r="I942" s="42"/>
    </row>
    <row r="943">
      <c r="A943" s="40"/>
      <c r="D943" s="41"/>
      <c r="G943" s="42"/>
      <c r="H943" s="42"/>
      <c r="I943" s="42"/>
    </row>
    <row r="944">
      <c r="A944" s="40"/>
      <c r="D944" s="41"/>
      <c r="G944" s="42"/>
      <c r="H944" s="42"/>
      <c r="I944" s="42"/>
    </row>
    <row r="945">
      <c r="A945" s="40"/>
      <c r="D945" s="41"/>
      <c r="G945" s="42"/>
      <c r="H945" s="42"/>
      <c r="I945" s="42"/>
    </row>
    <row r="946">
      <c r="A946" s="40"/>
      <c r="D946" s="41"/>
      <c r="G946" s="42"/>
      <c r="H946" s="42"/>
      <c r="I946" s="42"/>
    </row>
    <row r="947">
      <c r="A947" s="40"/>
      <c r="D947" s="41"/>
      <c r="G947" s="42"/>
      <c r="H947" s="42"/>
      <c r="I947" s="42"/>
    </row>
    <row r="948">
      <c r="A948" s="40"/>
      <c r="D948" s="41"/>
      <c r="G948" s="42"/>
      <c r="H948" s="42"/>
      <c r="I948" s="42"/>
    </row>
    <row r="949">
      <c r="A949" s="40"/>
      <c r="D949" s="41"/>
      <c r="G949" s="42"/>
      <c r="H949" s="42"/>
      <c r="I949" s="42"/>
    </row>
    <row r="950">
      <c r="A950" s="40"/>
      <c r="D950" s="41"/>
      <c r="G950" s="42"/>
      <c r="H950" s="42"/>
      <c r="I950" s="42"/>
    </row>
    <row r="951">
      <c r="A951" s="40"/>
      <c r="D951" s="41"/>
      <c r="G951" s="42"/>
      <c r="H951" s="42"/>
      <c r="I951" s="42"/>
    </row>
    <row r="952">
      <c r="A952" s="40"/>
      <c r="D952" s="41"/>
      <c r="G952" s="42"/>
      <c r="H952" s="42"/>
      <c r="I952" s="42"/>
    </row>
    <row r="953">
      <c r="A953" s="40"/>
      <c r="D953" s="41"/>
      <c r="G953" s="42"/>
      <c r="H953" s="42"/>
      <c r="I953" s="42"/>
    </row>
    <row r="954">
      <c r="A954" s="40"/>
      <c r="D954" s="41"/>
      <c r="G954" s="42"/>
      <c r="H954" s="42"/>
      <c r="I954" s="42"/>
    </row>
    <row r="955">
      <c r="A955" s="40"/>
      <c r="D955" s="41"/>
      <c r="G955" s="42"/>
      <c r="H955" s="42"/>
      <c r="I955" s="42"/>
    </row>
    <row r="956">
      <c r="A956" s="40"/>
      <c r="D956" s="41"/>
      <c r="G956" s="42"/>
      <c r="H956" s="42"/>
      <c r="I956" s="42"/>
    </row>
    <row r="957">
      <c r="A957" s="40"/>
      <c r="D957" s="41"/>
      <c r="G957" s="42"/>
      <c r="H957" s="42"/>
      <c r="I957" s="42"/>
    </row>
    <row r="958">
      <c r="A958" s="40"/>
      <c r="D958" s="41"/>
      <c r="G958" s="42"/>
      <c r="H958" s="42"/>
      <c r="I958" s="42"/>
    </row>
    <row r="959">
      <c r="A959" s="40"/>
      <c r="D959" s="41"/>
      <c r="G959" s="42"/>
      <c r="H959" s="42"/>
      <c r="I959" s="42"/>
    </row>
    <row r="960">
      <c r="A960" s="40"/>
      <c r="D960" s="41"/>
      <c r="G960" s="42"/>
      <c r="H960" s="42"/>
      <c r="I960" s="42"/>
    </row>
    <row r="961">
      <c r="A961" s="40"/>
      <c r="D961" s="41"/>
      <c r="G961" s="42"/>
      <c r="H961" s="42"/>
      <c r="I961" s="42"/>
    </row>
    <row r="962">
      <c r="A962" s="40"/>
      <c r="D962" s="41"/>
      <c r="G962" s="42"/>
      <c r="H962" s="42"/>
      <c r="I962" s="42"/>
    </row>
    <row r="963">
      <c r="A963" s="40"/>
      <c r="D963" s="41"/>
      <c r="G963" s="42"/>
      <c r="H963" s="42"/>
      <c r="I963" s="42"/>
    </row>
    <row r="964">
      <c r="A964" s="40"/>
      <c r="D964" s="41"/>
      <c r="G964" s="42"/>
      <c r="H964" s="42"/>
      <c r="I964" s="42"/>
    </row>
    <row r="965">
      <c r="A965" s="40"/>
      <c r="D965" s="41"/>
      <c r="G965" s="42"/>
      <c r="H965" s="42"/>
      <c r="I965" s="42"/>
    </row>
    <row r="966">
      <c r="A966" s="40"/>
      <c r="D966" s="41"/>
      <c r="G966" s="42"/>
      <c r="H966" s="42"/>
      <c r="I966" s="42"/>
    </row>
    <row r="967">
      <c r="A967" s="40"/>
      <c r="D967" s="41"/>
      <c r="G967" s="42"/>
      <c r="H967" s="42"/>
      <c r="I967" s="42"/>
    </row>
    <row r="968">
      <c r="A968" s="40"/>
      <c r="D968" s="41"/>
      <c r="G968" s="42"/>
      <c r="H968" s="42"/>
      <c r="I968" s="42"/>
    </row>
    <row r="969">
      <c r="A969" s="40"/>
      <c r="D969" s="41"/>
      <c r="G969" s="42"/>
      <c r="H969" s="42"/>
      <c r="I969" s="42"/>
    </row>
    <row r="970">
      <c r="A970" s="40"/>
      <c r="D970" s="41"/>
      <c r="G970" s="42"/>
      <c r="H970" s="42"/>
      <c r="I970" s="42"/>
    </row>
    <row r="971">
      <c r="A971" s="40"/>
      <c r="D971" s="41"/>
      <c r="G971" s="42"/>
      <c r="H971" s="42"/>
      <c r="I971" s="42"/>
    </row>
    <row r="972">
      <c r="A972" s="40"/>
      <c r="D972" s="41"/>
      <c r="G972" s="42"/>
      <c r="H972" s="42"/>
      <c r="I972" s="42"/>
    </row>
    <row r="973">
      <c r="A973" s="40"/>
      <c r="D973" s="41"/>
      <c r="G973" s="42"/>
      <c r="H973" s="42"/>
      <c r="I973" s="42"/>
    </row>
    <row r="974">
      <c r="A974" s="40"/>
      <c r="D974" s="41"/>
      <c r="G974" s="42"/>
      <c r="H974" s="42"/>
      <c r="I974" s="42"/>
    </row>
    <row r="975">
      <c r="A975" s="40"/>
      <c r="D975" s="41"/>
      <c r="G975" s="42"/>
      <c r="H975" s="42"/>
      <c r="I975" s="42"/>
    </row>
    <row r="976">
      <c r="A976" s="40"/>
      <c r="D976" s="41"/>
      <c r="G976" s="42"/>
      <c r="H976" s="42"/>
      <c r="I976" s="42"/>
    </row>
    <row r="977">
      <c r="A977" s="40"/>
      <c r="D977" s="41"/>
      <c r="G977" s="42"/>
      <c r="H977" s="42"/>
      <c r="I977" s="42"/>
    </row>
    <row r="978">
      <c r="A978" s="40"/>
      <c r="D978" s="41"/>
      <c r="G978" s="42"/>
      <c r="H978" s="42"/>
      <c r="I978" s="42"/>
    </row>
    <row r="979">
      <c r="A979" s="40"/>
      <c r="D979" s="41"/>
      <c r="G979" s="42"/>
      <c r="H979" s="42"/>
      <c r="I979" s="42"/>
    </row>
    <row r="980">
      <c r="A980" s="40"/>
      <c r="D980" s="41"/>
      <c r="G980" s="42"/>
      <c r="H980" s="42"/>
      <c r="I980" s="42"/>
    </row>
    <row r="981">
      <c r="A981" s="40"/>
      <c r="D981" s="41"/>
      <c r="G981" s="42"/>
      <c r="H981" s="42"/>
      <c r="I981" s="42"/>
    </row>
    <row r="982">
      <c r="A982" s="40"/>
      <c r="D982" s="41"/>
      <c r="G982" s="42"/>
      <c r="H982" s="42"/>
      <c r="I982" s="42"/>
    </row>
    <row r="983">
      <c r="A983" s="40"/>
      <c r="D983" s="41"/>
      <c r="G983" s="42"/>
      <c r="H983" s="42"/>
      <c r="I983" s="42"/>
    </row>
    <row r="984">
      <c r="A984" s="40"/>
      <c r="D984" s="41"/>
      <c r="G984" s="42"/>
      <c r="H984" s="42"/>
      <c r="I984" s="42"/>
    </row>
    <row r="985">
      <c r="A985" s="40"/>
      <c r="D985" s="41"/>
      <c r="G985" s="42"/>
      <c r="H985" s="42"/>
      <c r="I985" s="42"/>
    </row>
    <row r="986">
      <c r="A986" s="40"/>
      <c r="D986" s="41"/>
      <c r="G986" s="42"/>
      <c r="H986" s="42"/>
      <c r="I986" s="42"/>
    </row>
    <row r="987">
      <c r="A987" s="40"/>
      <c r="D987" s="41"/>
      <c r="G987" s="42"/>
      <c r="H987" s="42"/>
      <c r="I987" s="42"/>
    </row>
    <row r="988">
      <c r="A988" s="40"/>
      <c r="D988" s="41"/>
      <c r="G988" s="42"/>
      <c r="H988" s="42"/>
      <c r="I988" s="42"/>
    </row>
    <row r="989">
      <c r="A989" s="40"/>
      <c r="D989" s="41"/>
      <c r="G989" s="42"/>
      <c r="H989" s="42"/>
      <c r="I989" s="42"/>
    </row>
    <row r="990">
      <c r="A990" s="40"/>
      <c r="D990" s="41"/>
      <c r="G990" s="42"/>
      <c r="H990" s="42"/>
      <c r="I990" s="42"/>
    </row>
    <row r="991">
      <c r="A991" s="40"/>
      <c r="D991" s="41"/>
      <c r="G991" s="42"/>
      <c r="H991" s="42"/>
      <c r="I991" s="42"/>
    </row>
    <row r="992">
      <c r="A992" s="40"/>
      <c r="D992" s="41"/>
      <c r="G992" s="42"/>
      <c r="H992" s="42"/>
      <c r="I992" s="42"/>
    </row>
    <row r="993">
      <c r="A993" s="40"/>
      <c r="D993" s="41"/>
      <c r="G993" s="42"/>
      <c r="H993" s="42"/>
      <c r="I993" s="42"/>
    </row>
    <row r="994">
      <c r="A994" s="40"/>
      <c r="D994" s="41"/>
      <c r="G994" s="42"/>
      <c r="H994" s="42"/>
      <c r="I994" s="42"/>
    </row>
    <row r="995">
      <c r="A995" s="40"/>
      <c r="D995" s="41"/>
      <c r="G995" s="42"/>
      <c r="H995" s="42"/>
      <c r="I995" s="42"/>
    </row>
    <row r="996">
      <c r="A996" s="40"/>
      <c r="D996" s="41"/>
      <c r="G996" s="42"/>
      <c r="H996" s="42"/>
      <c r="I996" s="42"/>
    </row>
    <row r="997">
      <c r="A997" s="40"/>
      <c r="D997" s="41"/>
      <c r="G997" s="42"/>
      <c r="H997" s="42"/>
      <c r="I997" s="42"/>
    </row>
    <row r="998">
      <c r="A998" s="40"/>
      <c r="D998" s="41"/>
      <c r="G998" s="42"/>
      <c r="H998" s="42"/>
      <c r="I998" s="42"/>
    </row>
    <row r="999">
      <c r="A999" s="40"/>
      <c r="D999" s="41"/>
      <c r="G999" s="42"/>
      <c r="H999" s="42"/>
      <c r="I999" s="42"/>
    </row>
    <row r="1000">
      <c r="A1000" s="40"/>
      <c r="D1000" s="41"/>
      <c r="G1000" s="42"/>
      <c r="H1000" s="42"/>
      <c r="I1000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1.5"/>
    <col customWidth="1" min="3" max="3" width="22.75"/>
  </cols>
  <sheetData>
    <row r="1">
      <c r="A1" s="43" t="s">
        <v>98</v>
      </c>
      <c r="B1" s="44">
        <v>45953.0</v>
      </c>
      <c r="C1" s="45"/>
    </row>
    <row r="2">
      <c r="A2" s="46"/>
      <c r="B2" s="47"/>
      <c r="C2" s="47"/>
    </row>
    <row r="3">
      <c r="A3" s="43" t="s">
        <v>99</v>
      </c>
      <c r="B3" s="43" t="s">
        <v>100</v>
      </c>
      <c r="C3" s="43" t="s">
        <v>101</v>
      </c>
    </row>
    <row r="4">
      <c r="A4" s="48" t="s">
        <v>0</v>
      </c>
      <c r="B4" s="49">
        <v>45658.0</v>
      </c>
      <c r="C4" s="49">
        <v>45953.0</v>
      </c>
    </row>
    <row r="5">
      <c r="A5" s="48" t="s">
        <v>102</v>
      </c>
      <c r="B5" s="49">
        <v>45931.0</v>
      </c>
      <c r="C5" s="49">
        <v>46022.0</v>
      </c>
    </row>
    <row r="6">
      <c r="A6" s="48" t="s">
        <v>103</v>
      </c>
      <c r="B6" s="49">
        <v>45931.0</v>
      </c>
      <c r="C6" s="49">
        <v>45961.0</v>
      </c>
    </row>
    <row r="7">
      <c r="A7" s="48" t="s">
        <v>104</v>
      </c>
      <c r="B7" s="49">
        <v>45949.0</v>
      </c>
      <c r="C7" s="50">
        <v>45955.0</v>
      </c>
    </row>
    <row r="8">
      <c r="A8" s="48" t="s">
        <v>105</v>
      </c>
      <c r="B8" s="49">
        <v>45292.0</v>
      </c>
      <c r="C8" s="50">
        <v>45657.0</v>
      </c>
    </row>
    <row r="9">
      <c r="A9" s="48" t="s">
        <v>106</v>
      </c>
      <c r="B9" s="49">
        <v>45839.0</v>
      </c>
      <c r="C9" s="49">
        <v>45930.0</v>
      </c>
    </row>
    <row r="10">
      <c r="A10" s="48" t="s">
        <v>107</v>
      </c>
      <c r="B10" s="49">
        <v>45901.0</v>
      </c>
      <c r="C10" s="49">
        <v>45930.0</v>
      </c>
    </row>
    <row r="11">
      <c r="A11" s="48" t="s">
        <v>108</v>
      </c>
      <c r="B11" s="49">
        <v>45942.0</v>
      </c>
      <c r="C11" s="49">
        <v>45948.0</v>
      </c>
    </row>
    <row r="12">
      <c r="A12" s="48" t="s">
        <v>109</v>
      </c>
      <c r="B12" s="49">
        <v>45953.0</v>
      </c>
      <c r="C12" s="49">
        <v>45953.0</v>
      </c>
    </row>
    <row r="13">
      <c r="A13" s="48" t="s">
        <v>110</v>
      </c>
      <c r="B13" s="49">
        <v>45952.0</v>
      </c>
      <c r="C13" s="49">
        <v>45952.0</v>
      </c>
    </row>
    <row r="14">
      <c r="A14" s="48" t="s">
        <v>111</v>
      </c>
      <c r="B14" s="50">
        <v>45931.0</v>
      </c>
      <c r="C14" s="49">
        <v>45953.0</v>
      </c>
    </row>
    <row r="15">
      <c r="B15" s="51"/>
    </row>
    <row r="16">
      <c r="B16" s="51"/>
    </row>
    <row r="17">
      <c r="B17" s="51"/>
    </row>
    <row r="18">
      <c r="B18" s="51"/>
    </row>
    <row r="19">
      <c r="B19" s="51"/>
    </row>
    <row r="20">
      <c r="B20" s="51"/>
    </row>
    <row r="21">
      <c r="B21" s="51"/>
    </row>
    <row r="22">
      <c r="B22" s="51"/>
    </row>
    <row r="23">
      <c r="B23" s="51"/>
    </row>
    <row r="24">
      <c r="B24" s="51"/>
    </row>
    <row r="25">
      <c r="B25" s="51"/>
    </row>
    <row r="26">
      <c r="B26" s="51"/>
    </row>
    <row r="27">
      <c r="B27" s="51"/>
    </row>
    <row r="28">
      <c r="B28" s="51"/>
    </row>
    <row r="29">
      <c r="B29" s="51"/>
    </row>
    <row r="30">
      <c r="B30" s="51"/>
    </row>
    <row r="31">
      <c r="B31" s="51"/>
    </row>
    <row r="32">
      <c r="B32" s="51"/>
    </row>
    <row r="33">
      <c r="B33" s="51"/>
    </row>
    <row r="34">
      <c r="B34" s="51"/>
    </row>
    <row r="35">
      <c r="B35" s="51"/>
    </row>
    <row r="36">
      <c r="B36" s="51"/>
    </row>
    <row r="37">
      <c r="B37" s="51"/>
    </row>
    <row r="38">
      <c r="B38" s="51"/>
    </row>
    <row r="39">
      <c r="B39" s="51"/>
    </row>
    <row r="40">
      <c r="B40" s="51"/>
    </row>
    <row r="41">
      <c r="B41" s="51"/>
    </row>
    <row r="42">
      <c r="B42" s="51"/>
    </row>
    <row r="43">
      <c r="B43" s="51"/>
    </row>
    <row r="44">
      <c r="B44" s="51"/>
    </row>
    <row r="45">
      <c r="B45" s="51"/>
    </row>
    <row r="46">
      <c r="B46" s="51"/>
    </row>
    <row r="47">
      <c r="B47" s="51"/>
    </row>
    <row r="48">
      <c r="B48" s="51"/>
    </row>
    <row r="49">
      <c r="B49" s="51"/>
    </row>
    <row r="50">
      <c r="B50" s="51"/>
    </row>
    <row r="51">
      <c r="B51" s="51"/>
    </row>
    <row r="52">
      <c r="B52" s="51"/>
    </row>
    <row r="53">
      <c r="B53" s="51"/>
    </row>
    <row r="54">
      <c r="B54" s="51"/>
    </row>
    <row r="55">
      <c r="B55" s="51"/>
    </row>
    <row r="56">
      <c r="B56" s="51"/>
    </row>
    <row r="57">
      <c r="B57" s="51"/>
    </row>
    <row r="58">
      <c r="B58" s="51"/>
    </row>
    <row r="59">
      <c r="B59" s="51"/>
    </row>
    <row r="60">
      <c r="B60" s="51"/>
    </row>
    <row r="61">
      <c r="B61" s="51"/>
    </row>
    <row r="62">
      <c r="B62" s="51"/>
    </row>
    <row r="63">
      <c r="B63" s="51"/>
    </row>
    <row r="64">
      <c r="B64" s="51"/>
    </row>
    <row r="65">
      <c r="B65" s="51"/>
    </row>
    <row r="66">
      <c r="B66" s="51"/>
    </row>
    <row r="67">
      <c r="B67" s="51"/>
    </row>
    <row r="68">
      <c r="B68" s="51"/>
    </row>
    <row r="69">
      <c r="B69" s="51"/>
    </row>
    <row r="70">
      <c r="B70" s="51"/>
    </row>
    <row r="71">
      <c r="B71" s="51"/>
    </row>
    <row r="72">
      <c r="B72" s="51"/>
    </row>
    <row r="73">
      <c r="B73" s="51"/>
    </row>
    <row r="74">
      <c r="B74" s="51"/>
    </row>
    <row r="75">
      <c r="B75" s="51"/>
    </row>
    <row r="76">
      <c r="B76" s="51"/>
    </row>
    <row r="77">
      <c r="B77" s="51"/>
    </row>
    <row r="78">
      <c r="B78" s="51"/>
    </row>
    <row r="79">
      <c r="B79" s="51"/>
    </row>
    <row r="80">
      <c r="B80" s="51"/>
    </row>
    <row r="81">
      <c r="B81" s="51"/>
    </row>
    <row r="82">
      <c r="B82" s="51"/>
    </row>
    <row r="83">
      <c r="B83" s="51"/>
    </row>
    <row r="84">
      <c r="B84" s="51"/>
    </row>
    <row r="85">
      <c r="B85" s="51"/>
    </row>
    <row r="86">
      <c r="B86" s="51"/>
    </row>
    <row r="87">
      <c r="B87" s="51"/>
    </row>
    <row r="88">
      <c r="B88" s="51"/>
    </row>
    <row r="89">
      <c r="B89" s="51"/>
    </row>
    <row r="90">
      <c r="B90" s="51"/>
    </row>
    <row r="91">
      <c r="B91" s="51"/>
    </row>
    <row r="92">
      <c r="B92" s="51"/>
    </row>
    <row r="93">
      <c r="B93" s="51"/>
    </row>
    <row r="94">
      <c r="B94" s="51"/>
    </row>
    <row r="95">
      <c r="B95" s="51"/>
    </row>
    <row r="96">
      <c r="B96" s="51"/>
    </row>
    <row r="97">
      <c r="B97" s="51"/>
    </row>
    <row r="98">
      <c r="B98" s="51"/>
    </row>
    <row r="99">
      <c r="B99" s="51"/>
    </row>
    <row r="100">
      <c r="B100" s="51"/>
    </row>
    <row r="101">
      <c r="B101" s="51"/>
    </row>
    <row r="102">
      <c r="B102" s="51"/>
    </row>
    <row r="103">
      <c r="B103" s="51"/>
    </row>
    <row r="104">
      <c r="B104" s="51"/>
    </row>
    <row r="105">
      <c r="B105" s="51"/>
    </row>
    <row r="106">
      <c r="B106" s="51"/>
    </row>
    <row r="107">
      <c r="B107" s="51"/>
    </row>
    <row r="108">
      <c r="B108" s="51"/>
    </row>
    <row r="109">
      <c r="B109" s="51"/>
    </row>
    <row r="110">
      <c r="B110" s="51"/>
    </row>
    <row r="111">
      <c r="B111" s="51"/>
    </row>
    <row r="112">
      <c r="B112" s="51"/>
    </row>
    <row r="113">
      <c r="B113" s="51"/>
    </row>
    <row r="114">
      <c r="B114" s="51"/>
    </row>
    <row r="115">
      <c r="B115" s="51"/>
    </row>
    <row r="116">
      <c r="B116" s="51"/>
    </row>
    <row r="117">
      <c r="B117" s="51"/>
    </row>
    <row r="118">
      <c r="B118" s="51"/>
    </row>
    <row r="119">
      <c r="B119" s="51"/>
    </row>
    <row r="120">
      <c r="B120" s="51"/>
    </row>
    <row r="121">
      <c r="B121" s="51"/>
    </row>
    <row r="122">
      <c r="B122" s="51"/>
    </row>
    <row r="123">
      <c r="B123" s="51"/>
    </row>
    <row r="124">
      <c r="B124" s="51"/>
    </row>
    <row r="125">
      <c r="B125" s="51"/>
    </row>
    <row r="126">
      <c r="B126" s="51"/>
    </row>
    <row r="127">
      <c r="B127" s="51"/>
    </row>
    <row r="128">
      <c r="B128" s="51"/>
    </row>
    <row r="129">
      <c r="B129" s="51"/>
    </row>
    <row r="130">
      <c r="B130" s="51"/>
    </row>
    <row r="131">
      <c r="B131" s="51"/>
    </row>
    <row r="132">
      <c r="B132" s="51"/>
    </row>
    <row r="133">
      <c r="B133" s="51"/>
    </row>
    <row r="134">
      <c r="B134" s="51"/>
    </row>
    <row r="135">
      <c r="B135" s="51"/>
    </row>
    <row r="136">
      <c r="B136" s="51"/>
    </row>
    <row r="137">
      <c r="B137" s="51"/>
    </row>
    <row r="138">
      <c r="B138" s="51"/>
    </row>
    <row r="139">
      <c r="B139" s="51"/>
    </row>
    <row r="140">
      <c r="B140" s="51"/>
    </row>
    <row r="141">
      <c r="B141" s="51"/>
    </row>
    <row r="142">
      <c r="B142" s="51"/>
    </row>
    <row r="143">
      <c r="B143" s="51"/>
    </row>
    <row r="144">
      <c r="B144" s="51"/>
    </row>
    <row r="145">
      <c r="B145" s="51"/>
    </row>
    <row r="146">
      <c r="B146" s="51"/>
    </row>
    <row r="147">
      <c r="B147" s="51"/>
    </row>
    <row r="148">
      <c r="B148" s="51"/>
    </row>
    <row r="149">
      <c r="B149" s="51"/>
    </row>
    <row r="150">
      <c r="B150" s="51"/>
    </row>
    <row r="151">
      <c r="B151" s="51"/>
    </row>
    <row r="152">
      <c r="B152" s="51"/>
    </row>
    <row r="153">
      <c r="B153" s="51"/>
    </row>
    <row r="154">
      <c r="B154" s="51"/>
    </row>
    <row r="155">
      <c r="B155" s="51"/>
    </row>
    <row r="156">
      <c r="B156" s="51"/>
    </row>
    <row r="157">
      <c r="B157" s="51"/>
    </row>
    <row r="158">
      <c r="B158" s="51"/>
    </row>
    <row r="159">
      <c r="B159" s="51"/>
    </row>
    <row r="160">
      <c r="B160" s="51"/>
    </row>
    <row r="161">
      <c r="B161" s="51"/>
    </row>
    <row r="162">
      <c r="B162" s="51"/>
    </row>
    <row r="163">
      <c r="B163" s="51"/>
    </row>
    <row r="164">
      <c r="B164" s="51"/>
    </row>
    <row r="165">
      <c r="B165" s="51"/>
    </row>
    <row r="166">
      <c r="B166" s="51"/>
    </row>
    <row r="167">
      <c r="B167" s="51"/>
    </row>
    <row r="168">
      <c r="B168" s="51"/>
    </row>
    <row r="169">
      <c r="B169" s="51"/>
    </row>
    <row r="170">
      <c r="B170" s="51"/>
    </row>
    <row r="171">
      <c r="B171" s="51"/>
    </row>
    <row r="172">
      <c r="B172" s="51"/>
    </row>
    <row r="173">
      <c r="B173" s="51"/>
    </row>
    <row r="174">
      <c r="B174" s="51"/>
    </row>
    <row r="175">
      <c r="B175" s="51"/>
    </row>
    <row r="176">
      <c r="B176" s="51"/>
    </row>
    <row r="177">
      <c r="B177" s="51"/>
    </row>
    <row r="178">
      <c r="B178" s="51"/>
    </row>
    <row r="179">
      <c r="B179" s="51"/>
    </row>
    <row r="180">
      <c r="B180" s="51"/>
    </row>
    <row r="181">
      <c r="B181" s="51"/>
    </row>
    <row r="182">
      <c r="B182" s="51"/>
    </row>
    <row r="183">
      <c r="B183" s="51"/>
    </row>
    <row r="184">
      <c r="B184" s="51"/>
    </row>
    <row r="185">
      <c r="B185" s="51"/>
    </row>
    <row r="186">
      <c r="B186" s="51"/>
    </row>
    <row r="187">
      <c r="B187" s="51"/>
    </row>
    <row r="188">
      <c r="B188" s="51"/>
    </row>
    <row r="189">
      <c r="B189" s="51"/>
    </row>
    <row r="190">
      <c r="B190" s="51"/>
    </row>
    <row r="191">
      <c r="B191" s="51"/>
    </row>
    <row r="192">
      <c r="B192" s="51"/>
    </row>
    <row r="193">
      <c r="B193" s="51"/>
    </row>
    <row r="194">
      <c r="B194" s="51"/>
    </row>
    <row r="195">
      <c r="B195" s="51"/>
    </row>
    <row r="196">
      <c r="B196" s="51"/>
    </row>
    <row r="197">
      <c r="B197" s="51"/>
    </row>
    <row r="198">
      <c r="B198" s="51"/>
    </row>
    <row r="199">
      <c r="B199" s="51"/>
    </row>
    <row r="200">
      <c r="B200" s="51"/>
    </row>
    <row r="201">
      <c r="B201" s="51"/>
    </row>
    <row r="202">
      <c r="B202" s="51"/>
    </row>
    <row r="203">
      <c r="B203" s="51"/>
    </row>
    <row r="204">
      <c r="B204" s="51"/>
    </row>
    <row r="205">
      <c r="B205" s="51"/>
    </row>
    <row r="206">
      <c r="B206" s="51"/>
    </row>
    <row r="207">
      <c r="B207" s="51"/>
    </row>
    <row r="208">
      <c r="B208" s="51"/>
    </row>
    <row r="209">
      <c r="B209" s="51"/>
    </row>
    <row r="210">
      <c r="B210" s="51"/>
    </row>
    <row r="211">
      <c r="B211" s="51"/>
    </row>
    <row r="212">
      <c r="B212" s="51"/>
    </row>
    <row r="213">
      <c r="B213" s="51"/>
    </row>
    <row r="214">
      <c r="B214" s="51"/>
    </row>
    <row r="215">
      <c r="B215" s="51"/>
    </row>
    <row r="216">
      <c r="B216" s="51"/>
    </row>
    <row r="217">
      <c r="B217" s="51"/>
    </row>
    <row r="218">
      <c r="B218" s="51"/>
    </row>
    <row r="219">
      <c r="B219" s="51"/>
    </row>
    <row r="220">
      <c r="B220" s="51"/>
    </row>
    <row r="221">
      <c r="B221" s="51"/>
    </row>
    <row r="222">
      <c r="B222" s="51"/>
    </row>
    <row r="223">
      <c r="B223" s="51"/>
    </row>
    <row r="224">
      <c r="B224" s="51"/>
    </row>
    <row r="225">
      <c r="B225" s="51"/>
    </row>
    <row r="226">
      <c r="B226" s="51"/>
    </row>
    <row r="227">
      <c r="B227" s="51"/>
    </row>
    <row r="228">
      <c r="B228" s="51"/>
    </row>
    <row r="229">
      <c r="B229" s="51"/>
    </row>
    <row r="230">
      <c r="B230" s="51"/>
    </row>
    <row r="231">
      <c r="B231" s="51"/>
    </row>
    <row r="232">
      <c r="B232" s="51"/>
    </row>
    <row r="233">
      <c r="B233" s="51"/>
    </row>
    <row r="234">
      <c r="B234" s="51"/>
    </row>
    <row r="235">
      <c r="B235" s="51"/>
    </row>
    <row r="236">
      <c r="B236" s="51"/>
    </row>
    <row r="237">
      <c r="B237" s="51"/>
    </row>
    <row r="238">
      <c r="B238" s="51"/>
    </row>
    <row r="239">
      <c r="B239" s="51"/>
    </row>
    <row r="240">
      <c r="B240" s="51"/>
    </row>
    <row r="241">
      <c r="B241" s="51"/>
    </row>
    <row r="242">
      <c r="B242" s="51"/>
    </row>
    <row r="243">
      <c r="B243" s="51"/>
    </row>
    <row r="244">
      <c r="B244" s="51"/>
    </row>
    <row r="245">
      <c r="B245" s="51"/>
    </row>
    <row r="246">
      <c r="B246" s="51"/>
    </row>
    <row r="247">
      <c r="B247" s="51"/>
    </row>
    <row r="248">
      <c r="B248" s="51"/>
    </row>
    <row r="249">
      <c r="B249" s="51"/>
    </row>
    <row r="250">
      <c r="B250" s="51"/>
    </row>
    <row r="251">
      <c r="B251" s="51"/>
    </row>
    <row r="252">
      <c r="B252" s="51"/>
    </row>
    <row r="253">
      <c r="B253" s="51"/>
    </row>
    <row r="254">
      <c r="B254" s="51"/>
    </row>
    <row r="255">
      <c r="B255" s="51"/>
    </row>
    <row r="256">
      <c r="B256" s="51"/>
    </row>
    <row r="257">
      <c r="B257" s="51"/>
    </row>
    <row r="258">
      <c r="B258" s="51"/>
    </row>
    <row r="259">
      <c r="B259" s="51"/>
    </row>
    <row r="260">
      <c r="B260" s="51"/>
    </row>
    <row r="261">
      <c r="B261" s="51"/>
    </row>
    <row r="262">
      <c r="B262" s="51"/>
    </row>
    <row r="263">
      <c r="B263" s="51"/>
    </row>
    <row r="264">
      <c r="B264" s="51"/>
    </row>
    <row r="265">
      <c r="B265" s="51"/>
    </row>
    <row r="266">
      <c r="B266" s="51"/>
    </row>
    <row r="267">
      <c r="B267" s="51"/>
    </row>
    <row r="268">
      <c r="B268" s="51"/>
    </row>
    <row r="269">
      <c r="B269" s="51"/>
    </row>
    <row r="270">
      <c r="B270" s="51"/>
    </row>
    <row r="271">
      <c r="B271" s="51"/>
    </row>
    <row r="272">
      <c r="B272" s="51"/>
    </row>
    <row r="273">
      <c r="B273" s="51"/>
    </row>
    <row r="274">
      <c r="B274" s="51"/>
    </row>
    <row r="275">
      <c r="B275" s="51"/>
    </row>
    <row r="276">
      <c r="B276" s="51"/>
    </row>
    <row r="277">
      <c r="B277" s="51"/>
    </row>
    <row r="278">
      <c r="B278" s="51"/>
    </row>
    <row r="279">
      <c r="B279" s="51"/>
    </row>
    <row r="280">
      <c r="B280" s="51"/>
    </row>
    <row r="281">
      <c r="B281" s="51"/>
    </row>
    <row r="282">
      <c r="B282" s="51"/>
    </row>
    <row r="283">
      <c r="B283" s="51"/>
    </row>
    <row r="284">
      <c r="B284" s="51"/>
    </row>
    <row r="285">
      <c r="B285" s="51"/>
    </row>
    <row r="286">
      <c r="B286" s="51"/>
    </row>
    <row r="287">
      <c r="B287" s="51"/>
    </row>
    <row r="288">
      <c r="B288" s="51"/>
    </row>
    <row r="289">
      <c r="B289" s="51"/>
    </row>
    <row r="290">
      <c r="B290" s="51"/>
    </row>
    <row r="291">
      <c r="B291" s="51"/>
    </row>
    <row r="292">
      <c r="B292" s="51"/>
    </row>
    <row r="293">
      <c r="B293" s="51"/>
    </row>
    <row r="294">
      <c r="B294" s="51"/>
    </row>
    <row r="295">
      <c r="B295" s="51"/>
    </row>
    <row r="296">
      <c r="B296" s="51"/>
    </row>
    <row r="297">
      <c r="B297" s="51"/>
    </row>
    <row r="298">
      <c r="B298" s="51"/>
    </row>
    <row r="299">
      <c r="B299" s="51"/>
    </row>
    <row r="300">
      <c r="B300" s="51"/>
    </row>
    <row r="301">
      <c r="B301" s="51"/>
    </row>
    <row r="302">
      <c r="B302" s="51"/>
    </row>
    <row r="303">
      <c r="B303" s="51"/>
    </row>
    <row r="304">
      <c r="B304" s="51"/>
    </row>
    <row r="305">
      <c r="B305" s="51"/>
    </row>
    <row r="306">
      <c r="B306" s="51"/>
    </row>
    <row r="307">
      <c r="B307" s="51"/>
    </row>
    <row r="308">
      <c r="B308" s="51"/>
    </row>
    <row r="309">
      <c r="B309" s="51"/>
    </row>
    <row r="310">
      <c r="B310" s="51"/>
    </row>
    <row r="311">
      <c r="B311" s="51"/>
    </row>
    <row r="312">
      <c r="B312" s="51"/>
    </row>
    <row r="313">
      <c r="B313" s="51"/>
    </row>
    <row r="314">
      <c r="B314" s="51"/>
    </row>
    <row r="315">
      <c r="B315" s="51"/>
    </row>
    <row r="316">
      <c r="B316" s="51"/>
    </row>
    <row r="317">
      <c r="B317" s="51"/>
    </row>
    <row r="318">
      <c r="B318" s="51"/>
    </row>
    <row r="319">
      <c r="B319" s="51"/>
    </row>
    <row r="320">
      <c r="B320" s="51"/>
    </row>
    <row r="321">
      <c r="B321" s="51"/>
    </row>
    <row r="322">
      <c r="B322" s="51"/>
    </row>
    <row r="323">
      <c r="B323" s="51"/>
    </row>
    <row r="324">
      <c r="B324" s="51"/>
    </row>
    <row r="325">
      <c r="B325" s="51"/>
    </row>
    <row r="326">
      <c r="B326" s="51"/>
    </row>
    <row r="327">
      <c r="B327" s="51"/>
    </row>
    <row r="328">
      <c r="B328" s="51"/>
    </row>
    <row r="329">
      <c r="B329" s="51"/>
    </row>
    <row r="330">
      <c r="B330" s="51"/>
    </row>
    <row r="331">
      <c r="B331" s="51"/>
    </row>
    <row r="332">
      <c r="B332" s="51"/>
    </row>
    <row r="333">
      <c r="B333" s="51"/>
    </row>
    <row r="334">
      <c r="B334" s="51"/>
    </row>
    <row r="335">
      <c r="B335" s="51"/>
    </row>
    <row r="336">
      <c r="B336" s="51"/>
    </row>
    <row r="337">
      <c r="B337" s="51"/>
    </row>
    <row r="338">
      <c r="B338" s="51"/>
    </row>
    <row r="339">
      <c r="B339" s="51"/>
    </row>
    <row r="340">
      <c r="B340" s="51"/>
    </row>
    <row r="341">
      <c r="B341" s="51"/>
    </row>
    <row r="342">
      <c r="B342" s="51"/>
    </row>
    <row r="343">
      <c r="B343" s="51"/>
    </row>
    <row r="344">
      <c r="B344" s="51"/>
    </row>
    <row r="345">
      <c r="B345" s="51"/>
    </row>
    <row r="346">
      <c r="B346" s="51"/>
    </row>
    <row r="347">
      <c r="B347" s="51"/>
    </row>
    <row r="348">
      <c r="B348" s="51"/>
    </row>
    <row r="349">
      <c r="B349" s="51"/>
    </row>
    <row r="350">
      <c r="B350" s="51"/>
    </row>
    <row r="351">
      <c r="B351" s="51"/>
    </row>
    <row r="352">
      <c r="B352" s="51"/>
    </row>
    <row r="353">
      <c r="B353" s="51"/>
    </row>
    <row r="354">
      <c r="B354" s="51"/>
    </row>
    <row r="355">
      <c r="B355" s="51"/>
    </row>
    <row r="356">
      <c r="B356" s="51"/>
    </row>
    <row r="357">
      <c r="B357" s="51"/>
    </row>
    <row r="358">
      <c r="B358" s="51"/>
    </row>
    <row r="359">
      <c r="B359" s="51"/>
    </row>
    <row r="360">
      <c r="B360" s="51"/>
    </row>
    <row r="361">
      <c r="B361" s="51"/>
    </row>
    <row r="362">
      <c r="B362" s="51"/>
    </row>
    <row r="363">
      <c r="B363" s="51"/>
    </row>
    <row r="364">
      <c r="B364" s="51"/>
    </row>
    <row r="365">
      <c r="B365" s="51"/>
    </row>
    <row r="366">
      <c r="B366" s="51"/>
    </row>
    <row r="367">
      <c r="B367" s="51"/>
    </row>
    <row r="368">
      <c r="B368" s="51"/>
    </row>
    <row r="369">
      <c r="B369" s="51"/>
    </row>
    <row r="370">
      <c r="B370" s="51"/>
    </row>
    <row r="371">
      <c r="B371" s="51"/>
    </row>
    <row r="372">
      <c r="B372" s="51"/>
    </row>
    <row r="373">
      <c r="B373" s="51"/>
    </row>
    <row r="374">
      <c r="B374" s="51"/>
    </row>
    <row r="375">
      <c r="B375" s="51"/>
    </row>
    <row r="376">
      <c r="B376" s="51"/>
    </row>
    <row r="377">
      <c r="B377" s="51"/>
    </row>
    <row r="378">
      <c r="B378" s="51"/>
    </row>
    <row r="379">
      <c r="B379" s="51"/>
    </row>
    <row r="380">
      <c r="B380" s="51"/>
    </row>
    <row r="381">
      <c r="B381" s="51"/>
    </row>
    <row r="382">
      <c r="B382" s="51"/>
    </row>
    <row r="383">
      <c r="B383" s="51"/>
    </row>
    <row r="384">
      <c r="B384" s="51"/>
    </row>
    <row r="385">
      <c r="B385" s="51"/>
    </row>
    <row r="386">
      <c r="B386" s="51"/>
    </row>
    <row r="387">
      <c r="B387" s="51"/>
    </row>
    <row r="388">
      <c r="B388" s="51"/>
    </row>
    <row r="389">
      <c r="B389" s="51"/>
    </row>
    <row r="390">
      <c r="B390" s="51"/>
    </row>
    <row r="391">
      <c r="B391" s="51"/>
    </row>
    <row r="392">
      <c r="B392" s="51"/>
    </row>
    <row r="393">
      <c r="B393" s="51"/>
    </row>
    <row r="394">
      <c r="B394" s="51"/>
    </row>
    <row r="395">
      <c r="B395" s="51"/>
    </row>
    <row r="396">
      <c r="B396" s="51"/>
    </row>
    <row r="397">
      <c r="B397" s="51"/>
    </row>
    <row r="398">
      <c r="B398" s="51"/>
    </row>
    <row r="399">
      <c r="B399" s="51"/>
    </row>
    <row r="400">
      <c r="B400" s="51"/>
    </row>
    <row r="401">
      <c r="B401" s="51"/>
    </row>
    <row r="402">
      <c r="B402" s="51"/>
    </row>
    <row r="403">
      <c r="B403" s="51"/>
    </row>
    <row r="404">
      <c r="B404" s="51"/>
    </row>
    <row r="405">
      <c r="B405" s="51"/>
    </row>
    <row r="406">
      <c r="B406" s="51"/>
    </row>
    <row r="407">
      <c r="B407" s="51"/>
    </row>
    <row r="408">
      <c r="B408" s="51"/>
    </row>
    <row r="409">
      <c r="B409" s="51"/>
    </row>
    <row r="410">
      <c r="B410" s="51"/>
    </row>
    <row r="411">
      <c r="B411" s="51"/>
    </row>
    <row r="412">
      <c r="B412" s="51"/>
    </row>
    <row r="413">
      <c r="B413" s="51"/>
    </row>
    <row r="414">
      <c r="B414" s="51"/>
    </row>
    <row r="415">
      <c r="B415" s="51"/>
    </row>
    <row r="416">
      <c r="B416" s="51"/>
    </row>
    <row r="417">
      <c r="B417" s="51"/>
    </row>
    <row r="418">
      <c r="B418" s="51"/>
    </row>
    <row r="419">
      <c r="B419" s="51"/>
    </row>
    <row r="420">
      <c r="B420" s="51"/>
    </row>
    <row r="421">
      <c r="B421" s="51"/>
    </row>
    <row r="422">
      <c r="B422" s="51"/>
    </row>
    <row r="423">
      <c r="B423" s="51"/>
    </row>
    <row r="424">
      <c r="B424" s="51"/>
    </row>
    <row r="425">
      <c r="B425" s="51"/>
    </row>
    <row r="426">
      <c r="B426" s="51"/>
    </row>
    <row r="427">
      <c r="B427" s="51"/>
    </row>
    <row r="428">
      <c r="B428" s="51"/>
    </row>
    <row r="429">
      <c r="B429" s="51"/>
    </row>
    <row r="430">
      <c r="B430" s="51"/>
    </row>
    <row r="431">
      <c r="B431" s="51"/>
    </row>
    <row r="432">
      <c r="B432" s="51"/>
    </row>
    <row r="433">
      <c r="B433" s="51"/>
    </row>
    <row r="434">
      <c r="B434" s="51"/>
    </row>
    <row r="435">
      <c r="B435" s="51"/>
    </row>
    <row r="436">
      <c r="B436" s="51"/>
    </row>
    <row r="437">
      <c r="B437" s="51"/>
    </row>
    <row r="438">
      <c r="B438" s="51"/>
    </row>
    <row r="439">
      <c r="B439" s="51"/>
    </row>
    <row r="440">
      <c r="B440" s="51"/>
    </row>
    <row r="441">
      <c r="B441" s="51"/>
    </row>
    <row r="442">
      <c r="B442" s="51"/>
    </row>
    <row r="443">
      <c r="B443" s="51"/>
    </row>
    <row r="444">
      <c r="B444" s="51"/>
    </row>
    <row r="445">
      <c r="B445" s="51"/>
    </row>
    <row r="446">
      <c r="B446" s="51"/>
    </row>
    <row r="447">
      <c r="B447" s="51"/>
    </row>
    <row r="448">
      <c r="B448" s="51"/>
    </row>
    <row r="449">
      <c r="B449" s="51"/>
    </row>
    <row r="450">
      <c r="B450" s="51"/>
    </row>
    <row r="451">
      <c r="B451" s="51"/>
    </row>
    <row r="452">
      <c r="B452" s="51"/>
    </row>
    <row r="453">
      <c r="B453" s="51"/>
    </row>
    <row r="454">
      <c r="B454" s="51"/>
    </row>
    <row r="455">
      <c r="B455" s="51"/>
    </row>
    <row r="456">
      <c r="B456" s="51"/>
    </row>
    <row r="457">
      <c r="B457" s="51"/>
    </row>
    <row r="458">
      <c r="B458" s="51"/>
    </row>
    <row r="459">
      <c r="B459" s="51"/>
    </row>
    <row r="460">
      <c r="B460" s="51"/>
    </row>
    <row r="461">
      <c r="B461" s="51"/>
    </row>
    <row r="462">
      <c r="B462" s="51"/>
    </row>
    <row r="463">
      <c r="B463" s="51"/>
    </row>
    <row r="464">
      <c r="B464" s="51"/>
    </row>
    <row r="465">
      <c r="B465" s="51"/>
    </row>
    <row r="466">
      <c r="B466" s="51"/>
    </row>
    <row r="467">
      <c r="B467" s="51"/>
    </row>
    <row r="468">
      <c r="B468" s="51"/>
    </row>
    <row r="469">
      <c r="B469" s="51"/>
    </row>
    <row r="470">
      <c r="B470" s="51"/>
    </row>
    <row r="471">
      <c r="B471" s="51"/>
    </row>
    <row r="472">
      <c r="B472" s="51"/>
    </row>
    <row r="473">
      <c r="B473" s="51"/>
    </row>
    <row r="474">
      <c r="B474" s="51"/>
    </row>
    <row r="475">
      <c r="B475" s="51"/>
    </row>
    <row r="476">
      <c r="B476" s="51"/>
    </row>
    <row r="477">
      <c r="B477" s="51"/>
    </row>
    <row r="478">
      <c r="B478" s="51"/>
    </row>
    <row r="479">
      <c r="B479" s="51"/>
    </row>
    <row r="480">
      <c r="B480" s="51"/>
    </row>
    <row r="481">
      <c r="B481" s="51"/>
    </row>
    <row r="482">
      <c r="B482" s="51"/>
    </row>
    <row r="483">
      <c r="B483" s="51"/>
    </row>
    <row r="484">
      <c r="B484" s="51"/>
    </row>
    <row r="485">
      <c r="B485" s="51"/>
    </row>
    <row r="486">
      <c r="B486" s="51"/>
    </row>
    <row r="487">
      <c r="B487" s="51"/>
    </row>
    <row r="488">
      <c r="B488" s="51"/>
    </row>
    <row r="489">
      <c r="B489" s="51"/>
    </row>
    <row r="490">
      <c r="B490" s="51"/>
    </row>
    <row r="491">
      <c r="B491" s="51"/>
    </row>
    <row r="492">
      <c r="B492" s="51"/>
    </row>
    <row r="493">
      <c r="B493" s="51"/>
    </row>
    <row r="494">
      <c r="B494" s="51"/>
    </row>
    <row r="495">
      <c r="B495" s="51"/>
    </row>
    <row r="496">
      <c r="B496" s="51"/>
    </row>
    <row r="497">
      <c r="B497" s="51"/>
    </row>
    <row r="498">
      <c r="B498" s="51"/>
    </row>
    <row r="499">
      <c r="B499" s="51"/>
    </row>
    <row r="500">
      <c r="B500" s="51"/>
    </row>
    <row r="501">
      <c r="B501" s="51"/>
    </row>
    <row r="502">
      <c r="B502" s="51"/>
    </row>
    <row r="503">
      <c r="B503" s="51"/>
    </row>
    <row r="504">
      <c r="B504" s="51"/>
    </row>
    <row r="505">
      <c r="B505" s="51"/>
    </row>
    <row r="506">
      <c r="B506" s="51"/>
    </row>
    <row r="507">
      <c r="B507" s="51"/>
    </row>
    <row r="508">
      <c r="B508" s="51"/>
    </row>
    <row r="509">
      <c r="B509" s="51"/>
    </row>
    <row r="510">
      <c r="B510" s="51"/>
    </row>
    <row r="511">
      <c r="B511" s="51"/>
    </row>
    <row r="512">
      <c r="B512" s="51"/>
    </row>
    <row r="513">
      <c r="B513" s="51"/>
    </row>
    <row r="514">
      <c r="B514" s="51"/>
    </row>
    <row r="515">
      <c r="B515" s="51"/>
    </row>
    <row r="516">
      <c r="B516" s="51"/>
    </row>
    <row r="517">
      <c r="B517" s="51"/>
    </row>
    <row r="518">
      <c r="B518" s="51"/>
    </row>
    <row r="519">
      <c r="B519" s="51"/>
    </row>
    <row r="520">
      <c r="B520" s="51"/>
    </row>
    <row r="521">
      <c r="B521" s="51"/>
    </row>
    <row r="522">
      <c r="B522" s="51"/>
    </row>
    <row r="523">
      <c r="B523" s="51"/>
    </row>
    <row r="524">
      <c r="B524" s="51"/>
    </row>
    <row r="525">
      <c r="B525" s="51"/>
    </row>
    <row r="526">
      <c r="B526" s="51"/>
    </row>
    <row r="527">
      <c r="B527" s="51"/>
    </row>
    <row r="528">
      <c r="B528" s="51"/>
    </row>
    <row r="529">
      <c r="B529" s="51"/>
    </row>
    <row r="530">
      <c r="B530" s="51"/>
    </row>
    <row r="531">
      <c r="B531" s="51"/>
    </row>
    <row r="532">
      <c r="B532" s="51"/>
    </row>
    <row r="533">
      <c r="B533" s="51"/>
    </row>
    <row r="534">
      <c r="B534" s="51"/>
    </row>
    <row r="535">
      <c r="B535" s="51"/>
    </row>
    <row r="536">
      <c r="B536" s="51"/>
    </row>
    <row r="537">
      <c r="B537" s="51"/>
    </row>
    <row r="538">
      <c r="B538" s="51"/>
    </row>
    <row r="539">
      <c r="B539" s="51"/>
    </row>
    <row r="540">
      <c r="B540" s="51"/>
    </row>
    <row r="541">
      <c r="B541" s="51"/>
    </row>
    <row r="542">
      <c r="B542" s="51"/>
    </row>
    <row r="543">
      <c r="B543" s="51"/>
    </row>
    <row r="544">
      <c r="B544" s="51"/>
    </row>
    <row r="545">
      <c r="B545" s="51"/>
    </row>
    <row r="546">
      <c r="B546" s="51"/>
    </row>
    <row r="547">
      <c r="B547" s="51"/>
    </row>
    <row r="548">
      <c r="B548" s="51"/>
    </row>
    <row r="549">
      <c r="B549" s="51"/>
    </row>
    <row r="550">
      <c r="B550" s="51"/>
    </row>
    <row r="551">
      <c r="B551" s="51"/>
    </row>
    <row r="552">
      <c r="B552" s="51"/>
    </row>
    <row r="553">
      <c r="B553" s="51"/>
    </row>
    <row r="554">
      <c r="B554" s="51"/>
    </row>
    <row r="555">
      <c r="B555" s="51"/>
    </row>
    <row r="556">
      <c r="B556" s="51"/>
    </row>
    <row r="557">
      <c r="B557" s="51"/>
    </row>
    <row r="558">
      <c r="B558" s="51"/>
    </row>
    <row r="559">
      <c r="B559" s="51"/>
    </row>
    <row r="560">
      <c r="B560" s="51"/>
    </row>
    <row r="561">
      <c r="B561" s="51"/>
    </row>
    <row r="562">
      <c r="B562" s="51"/>
    </row>
    <row r="563">
      <c r="B563" s="51"/>
    </row>
    <row r="564">
      <c r="B564" s="51"/>
    </row>
    <row r="565">
      <c r="B565" s="51"/>
    </row>
    <row r="566">
      <c r="B566" s="51"/>
    </row>
    <row r="567">
      <c r="B567" s="51"/>
    </row>
    <row r="568">
      <c r="B568" s="51"/>
    </row>
    <row r="569">
      <c r="B569" s="51"/>
    </row>
    <row r="570">
      <c r="B570" s="51"/>
    </row>
    <row r="571">
      <c r="B571" s="51"/>
    </row>
    <row r="572">
      <c r="B572" s="51"/>
    </row>
    <row r="573">
      <c r="B573" s="51"/>
    </row>
    <row r="574">
      <c r="B574" s="51"/>
    </row>
    <row r="575">
      <c r="B575" s="51"/>
    </row>
    <row r="576">
      <c r="B576" s="51"/>
    </row>
    <row r="577">
      <c r="B577" s="51"/>
    </row>
    <row r="578">
      <c r="B578" s="51"/>
    </row>
    <row r="579">
      <c r="B579" s="51"/>
    </row>
    <row r="580">
      <c r="B580" s="51"/>
    </row>
    <row r="581">
      <c r="B581" s="51"/>
    </row>
    <row r="582">
      <c r="B582" s="51"/>
    </row>
    <row r="583">
      <c r="B583" s="51"/>
    </row>
    <row r="584">
      <c r="B584" s="51"/>
    </row>
    <row r="585">
      <c r="B585" s="51"/>
    </row>
    <row r="586">
      <c r="B586" s="51"/>
    </row>
    <row r="587">
      <c r="B587" s="51"/>
    </row>
    <row r="588">
      <c r="B588" s="51"/>
    </row>
    <row r="589">
      <c r="B589" s="51"/>
    </row>
    <row r="590">
      <c r="B590" s="51"/>
    </row>
    <row r="591">
      <c r="B591" s="51"/>
    </row>
    <row r="592">
      <c r="B592" s="51"/>
    </row>
    <row r="593">
      <c r="B593" s="51"/>
    </row>
    <row r="594">
      <c r="B594" s="51"/>
    </row>
    <row r="595">
      <c r="B595" s="51"/>
    </row>
    <row r="596">
      <c r="B596" s="51"/>
    </row>
    <row r="597">
      <c r="B597" s="51"/>
    </row>
    <row r="598">
      <c r="B598" s="51"/>
    </row>
    <row r="599">
      <c r="B599" s="51"/>
    </row>
    <row r="600">
      <c r="B600" s="51"/>
    </row>
    <row r="601">
      <c r="B601" s="51"/>
    </row>
    <row r="602">
      <c r="B602" s="51"/>
    </row>
    <row r="603">
      <c r="B603" s="51"/>
    </row>
    <row r="604">
      <c r="B604" s="51"/>
    </row>
    <row r="605">
      <c r="B605" s="51"/>
    </row>
    <row r="606">
      <c r="B606" s="51"/>
    </row>
    <row r="607">
      <c r="B607" s="51"/>
    </row>
    <row r="608">
      <c r="B608" s="51"/>
    </row>
    <row r="609">
      <c r="B609" s="51"/>
    </row>
    <row r="610">
      <c r="B610" s="51"/>
    </row>
    <row r="611">
      <c r="B611" s="51"/>
    </row>
    <row r="612">
      <c r="B612" s="51"/>
    </row>
    <row r="613">
      <c r="B613" s="51"/>
    </row>
    <row r="614">
      <c r="B614" s="51"/>
    </row>
    <row r="615">
      <c r="B615" s="51"/>
    </row>
    <row r="616">
      <c r="B616" s="51"/>
    </row>
    <row r="617">
      <c r="B617" s="51"/>
    </row>
    <row r="618">
      <c r="B618" s="51"/>
    </row>
    <row r="619">
      <c r="B619" s="51"/>
    </row>
    <row r="620">
      <c r="B620" s="51"/>
    </row>
    <row r="621">
      <c r="B621" s="51"/>
    </row>
    <row r="622">
      <c r="B622" s="51"/>
    </row>
    <row r="623">
      <c r="B623" s="51"/>
    </row>
    <row r="624">
      <c r="B624" s="51"/>
    </row>
    <row r="625">
      <c r="B625" s="51"/>
    </row>
    <row r="626">
      <c r="B626" s="51"/>
    </row>
    <row r="627">
      <c r="B627" s="51"/>
    </row>
    <row r="628">
      <c r="B628" s="51"/>
    </row>
    <row r="629">
      <c r="B629" s="51"/>
    </row>
    <row r="630">
      <c r="B630" s="51"/>
    </row>
    <row r="631">
      <c r="B631" s="51"/>
    </row>
    <row r="632">
      <c r="B632" s="51"/>
    </row>
    <row r="633">
      <c r="B633" s="51"/>
    </row>
    <row r="634">
      <c r="B634" s="51"/>
    </row>
    <row r="635">
      <c r="B635" s="51"/>
    </row>
    <row r="636">
      <c r="B636" s="51"/>
    </row>
    <row r="637">
      <c r="B637" s="51"/>
    </row>
    <row r="638">
      <c r="B638" s="51"/>
    </row>
    <row r="639">
      <c r="B639" s="51"/>
    </row>
    <row r="640">
      <c r="B640" s="51"/>
    </row>
    <row r="641">
      <c r="B641" s="51"/>
    </row>
    <row r="642">
      <c r="B642" s="51"/>
    </row>
    <row r="643">
      <c r="B643" s="51"/>
    </row>
    <row r="644">
      <c r="B644" s="51"/>
    </row>
    <row r="645">
      <c r="B645" s="51"/>
    </row>
    <row r="646">
      <c r="B646" s="51"/>
    </row>
    <row r="647">
      <c r="B647" s="51"/>
    </row>
    <row r="648">
      <c r="B648" s="51"/>
    </row>
    <row r="649">
      <c r="B649" s="51"/>
    </row>
    <row r="650">
      <c r="B650" s="51"/>
    </row>
    <row r="651">
      <c r="B651" s="51"/>
    </row>
    <row r="652">
      <c r="B652" s="51"/>
    </row>
    <row r="653">
      <c r="B653" s="51"/>
    </row>
    <row r="654">
      <c r="B654" s="51"/>
    </row>
    <row r="655">
      <c r="B655" s="51"/>
    </row>
    <row r="656">
      <c r="B656" s="51"/>
    </row>
    <row r="657">
      <c r="B657" s="51"/>
    </row>
    <row r="658">
      <c r="B658" s="51"/>
    </row>
    <row r="659">
      <c r="B659" s="51"/>
    </row>
    <row r="660">
      <c r="B660" s="51"/>
    </row>
    <row r="661">
      <c r="B661" s="51"/>
    </row>
    <row r="662">
      <c r="B662" s="51"/>
    </row>
    <row r="663">
      <c r="B663" s="51"/>
    </row>
    <row r="664">
      <c r="B664" s="51"/>
    </row>
    <row r="665">
      <c r="B665" s="51"/>
    </row>
    <row r="666">
      <c r="B666" s="51"/>
    </row>
    <row r="667">
      <c r="B667" s="51"/>
    </row>
    <row r="668">
      <c r="B668" s="51"/>
    </row>
    <row r="669">
      <c r="B669" s="51"/>
    </row>
    <row r="670">
      <c r="B670" s="51"/>
    </row>
    <row r="671">
      <c r="B671" s="51"/>
    </row>
    <row r="672">
      <c r="B672" s="51"/>
    </row>
    <row r="673">
      <c r="B673" s="51"/>
    </row>
    <row r="674">
      <c r="B674" s="51"/>
    </row>
    <row r="675">
      <c r="B675" s="51"/>
    </row>
    <row r="676">
      <c r="B676" s="51"/>
    </row>
    <row r="677">
      <c r="B677" s="51"/>
    </row>
    <row r="678">
      <c r="B678" s="51"/>
    </row>
    <row r="679">
      <c r="B679" s="51"/>
    </row>
    <row r="680">
      <c r="B680" s="51"/>
    </row>
    <row r="681">
      <c r="B681" s="51"/>
    </row>
    <row r="682">
      <c r="B682" s="51"/>
    </row>
    <row r="683">
      <c r="B683" s="51"/>
    </row>
    <row r="684">
      <c r="B684" s="51"/>
    </row>
    <row r="685">
      <c r="B685" s="51"/>
    </row>
    <row r="686">
      <c r="B686" s="51"/>
    </row>
    <row r="687">
      <c r="B687" s="51"/>
    </row>
    <row r="688">
      <c r="B688" s="51"/>
    </row>
    <row r="689">
      <c r="B689" s="51"/>
    </row>
    <row r="690">
      <c r="B690" s="51"/>
    </row>
    <row r="691">
      <c r="B691" s="51"/>
    </row>
    <row r="692">
      <c r="B692" s="51"/>
    </row>
    <row r="693">
      <c r="B693" s="51"/>
    </row>
    <row r="694">
      <c r="B694" s="51"/>
    </row>
    <row r="695">
      <c r="B695" s="51"/>
    </row>
    <row r="696">
      <c r="B696" s="51"/>
    </row>
    <row r="697">
      <c r="B697" s="51"/>
    </row>
    <row r="698">
      <c r="B698" s="51"/>
    </row>
    <row r="699">
      <c r="B699" s="51"/>
    </row>
    <row r="700">
      <c r="B700" s="51"/>
    </row>
    <row r="701">
      <c r="B701" s="51"/>
    </row>
    <row r="702">
      <c r="B702" s="51"/>
    </row>
    <row r="703">
      <c r="B703" s="51"/>
    </row>
    <row r="704">
      <c r="B704" s="51"/>
    </row>
    <row r="705">
      <c r="B705" s="51"/>
    </row>
    <row r="706">
      <c r="B706" s="51"/>
    </row>
    <row r="707">
      <c r="B707" s="51"/>
    </row>
    <row r="708">
      <c r="B708" s="51"/>
    </row>
    <row r="709">
      <c r="B709" s="51"/>
    </row>
    <row r="710">
      <c r="B710" s="51"/>
    </row>
    <row r="711">
      <c r="B711" s="51"/>
    </row>
    <row r="712">
      <c r="B712" s="51"/>
    </row>
    <row r="713">
      <c r="B713" s="51"/>
    </row>
    <row r="714">
      <c r="B714" s="51"/>
    </row>
    <row r="715">
      <c r="B715" s="51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  <row r="729">
      <c r="B729" s="51"/>
    </row>
    <row r="730">
      <c r="B730" s="51"/>
    </row>
    <row r="731">
      <c r="B731" s="51"/>
    </row>
    <row r="732">
      <c r="B732" s="51"/>
    </row>
    <row r="733">
      <c r="B733" s="51"/>
    </row>
    <row r="734">
      <c r="B734" s="51"/>
    </row>
    <row r="735">
      <c r="B735" s="51"/>
    </row>
    <row r="736">
      <c r="B736" s="51"/>
    </row>
    <row r="737">
      <c r="B737" s="51"/>
    </row>
    <row r="738">
      <c r="B738" s="51"/>
    </row>
    <row r="739">
      <c r="B739" s="51"/>
    </row>
    <row r="740">
      <c r="B740" s="51"/>
    </row>
    <row r="741">
      <c r="B741" s="51"/>
    </row>
    <row r="742">
      <c r="B742" s="51"/>
    </row>
    <row r="743">
      <c r="B743" s="51"/>
    </row>
    <row r="744">
      <c r="B744" s="51"/>
    </row>
    <row r="745">
      <c r="B745" s="51"/>
    </row>
    <row r="746">
      <c r="B746" s="51"/>
    </row>
    <row r="747">
      <c r="B747" s="51"/>
    </row>
    <row r="748">
      <c r="B748" s="51"/>
    </row>
    <row r="749">
      <c r="B749" s="51"/>
    </row>
    <row r="750">
      <c r="B750" s="51"/>
    </row>
    <row r="751">
      <c r="B751" s="51"/>
    </row>
    <row r="752">
      <c r="B752" s="51"/>
    </row>
    <row r="753">
      <c r="B753" s="51"/>
    </row>
    <row r="754">
      <c r="B754" s="51"/>
    </row>
    <row r="755">
      <c r="B755" s="51"/>
    </row>
    <row r="756">
      <c r="B756" s="51"/>
    </row>
    <row r="757">
      <c r="B757" s="51"/>
    </row>
    <row r="758">
      <c r="B758" s="51"/>
    </row>
    <row r="759">
      <c r="B759" s="51"/>
    </row>
    <row r="760">
      <c r="B760" s="51"/>
    </row>
    <row r="761">
      <c r="B761" s="51"/>
    </row>
    <row r="762">
      <c r="B762" s="51"/>
    </row>
    <row r="763">
      <c r="B763" s="51"/>
    </row>
    <row r="764">
      <c r="B764" s="51"/>
    </row>
    <row r="765">
      <c r="B765" s="51"/>
    </row>
    <row r="766">
      <c r="B766" s="51"/>
    </row>
    <row r="767">
      <c r="B767" s="51"/>
    </row>
    <row r="768">
      <c r="B768" s="51"/>
    </row>
    <row r="769">
      <c r="B769" s="51"/>
    </row>
    <row r="770">
      <c r="B770" s="51"/>
    </row>
    <row r="771">
      <c r="B771" s="51"/>
    </row>
    <row r="772">
      <c r="B772" s="51"/>
    </row>
    <row r="773">
      <c r="B773" s="51"/>
    </row>
    <row r="774">
      <c r="B774" s="51"/>
    </row>
    <row r="775">
      <c r="B775" s="51"/>
    </row>
    <row r="776">
      <c r="B776" s="51"/>
    </row>
    <row r="777">
      <c r="B777" s="51"/>
    </row>
    <row r="778">
      <c r="B778" s="51"/>
    </row>
    <row r="779">
      <c r="B779" s="51"/>
    </row>
    <row r="780">
      <c r="B780" s="51"/>
    </row>
    <row r="781">
      <c r="B781" s="51"/>
    </row>
    <row r="782">
      <c r="B782" s="51"/>
    </row>
    <row r="783">
      <c r="B783" s="51"/>
    </row>
    <row r="784">
      <c r="B784" s="51"/>
    </row>
    <row r="785">
      <c r="B785" s="51"/>
    </row>
    <row r="786">
      <c r="B786" s="51"/>
    </row>
    <row r="787">
      <c r="B787" s="51"/>
    </row>
    <row r="788">
      <c r="B788" s="51"/>
    </row>
    <row r="789">
      <c r="B789" s="51"/>
    </row>
    <row r="790">
      <c r="B790" s="51"/>
    </row>
    <row r="791">
      <c r="B791" s="51"/>
    </row>
    <row r="792">
      <c r="B792" s="51"/>
    </row>
    <row r="793">
      <c r="B793" s="51"/>
    </row>
    <row r="794">
      <c r="B794" s="51"/>
    </row>
    <row r="795">
      <c r="B795" s="51"/>
    </row>
    <row r="796">
      <c r="B796" s="51"/>
    </row>
    <row r="797">
      <c r="B797" s="51"/>
    </row>
    <row r="798">
      <c r="B798" s="51"/>
    </row>
    <row r="799">
      <c r="B799" s="51"/>
    </row>
    <row r="800">
      <c r="B800" s="51"/>
    </row>
    <row r="801">
      <c r="B801" s="51"/>
    </row>
    <row r="802">
      <c r="B802" s="51"/>
    </row>
    <row r="803">
      <c r="B803" s="51"/>
    </row>
    <row r="804">
      <c r="B804" s="51"/>
    </row>
    <row r="805">
      <c r="B805" s="51"/>
    </row>
    <row r="806">
      <c r="B806" s="51"/>
    </row>
    <row r="807">
      <c r="B807" s="51"/>
    </row>
    <row r="808">
      <c r="B808" s="51"/>
    </row>
    <row r="809">
      <c r="B809" s="51"/>
    </row>
    <row r="810">
      <c r="B810" s="51"/>
    </row>
    <row r="811">
      <c r="B811" s="51"/>
    </row>
    <row r="812">
      <c r="B812" s="51"/>
    </row>
    <row r="813">
      <c r="B813" s="51"/>
    </row>
    <row r="814">
      <c r="B814" s="51"/>
    </row>
    <row r="815">
      <c r="B815" s="51"/>
    </row>
    <row r="816">
      <c r="B816" s="51"/>
    </row>
    <row r="817">
      <c r="B817" s="51"/>
    </row>
    <row r="818">
      <c r="B818" s="51"/>
    </row>
    <row r="819">
      <c r="B819" s="51"/>
    </row>
    <row r="820">
      <c r="B820" s="51"/>
    </row>
    <row r="821">
      <c r="B821" s="51"/>
    </row>
    <row r="822">
      <c r="B822" s="51"/>
    </row>
    <row r="823">
      <c r="B823" s="51"/>
    </row>
    <row r="824">
      <c r="B824" s="51"/>
    </row>
    <row r="825">
      <c r="B825" s="51"/>
    </row>
    <row r="826">
      <c r="B826" s="51"/>
    </row>
    <row r="827">
      <c r="B827" s="51"/>
    </row>
    <row r="828">
      <c r="B828" s="51"/>
    </row>
    <row r="829">
      <c r="B829" s="51"/>
    </row>
    <row r="830">
      <c r="B830" s="51"/>
    </row>
    <row r="831">
      <c r="B831" s="51"/>
    </row>
    <row r="832">
      <c r="B832" s="51"/>
    </row>
    <row r="833">
      <c r="B833" s="51"/>
    </row>
    <row r="834">
      <c r="B834" s="51"/>
    </row>
    <row r="835">
      <c r="B835" s="51"/>
    </row>
    <row r="836">
      <c r="B836" s="51"/>
    </row>
    <row r="837">
      <c r="B837" s="51"/>
    </row>
    <row r="838">
      <c r="B838" s="51"/>
    </row>
    <row r="839">
      <c r="B839" s="51"/>
    </row>
    <row r="840">
      <c r="B840" s="51"/>
    </row>
    <row r="841">
      <c r="B841" s="51"/>
    </row>
    <row r="842">
      <c r="B842" s="51"/>
    </row>
    <row r="843">
      <c r="B843" s="51"/>
    </row>
    <row r="844">
      <c r="B844" s="51"/>
    </row>
    <row r="845">
      <c r="B845" s="51"/>
    </row>
    <row r="846">
      <c r="B846" s="51"/>
    </row>
    <row r="847">
      <c r="B847" s="51"/>
    </row>
    <row r="848">
      <c r="B848" s="51"/>
    </row>
    <row r="849">
      <c r="B849" s="51"/>
    </row>
    <row r="850">
      <c r="B850" s="51"/>
    </row>
    <row r="851">
      <c r="B851" s="51"/>
    </row>
    <row r="852">
      <c r="B852" s="51"/>
    </row>
    <row r="853">
      <c r="B853" s="51"/>
    </row>
    <row r="854">
      <c r="B854" s="51"/>
    </row>
    <row r="855">
      <c r="B855" s="51"/>
    </row>
    <row r="856">
      <c r="B856" s="51"/>
    </row>
    <row r="857">
      <c r="B857" s="51"/>
    </row>
    <row r="858">
      <c r="B858" s="51"/>
    </row>
    <row r="859">
      <c r="B859" s="51"/>
    </row>
    <row r="860">
      <c r="B860" s="51"/>
    </row>
    <row r="861">
      <c r="B861" s="51"/>
    </row>
    <row r="862">
      <c r="B862" s="51"/>
    </row>
    <row r="863">
      <c r="B863" s="51"/>
    </row>
    <row r="864">
      <c r="B864" s="51"/>
    </row>
    <row r="865">
      <c r="B865" s="51"/>
    </row>
    <row r="866">
      <c r="B866" s="51"/>
    </row>
    <row r="867">
      <c r="B867" s="51"/>
    </row>
    <row r="868">
      <c r="B868" s="51"/>
    </row>
    <row r="869">
      <c r="B869" s="51"/>
    </row>
    <row r="870">
      <c r="B870" s="51"/>
    </row>
    <row r="871">
      <c r="B871" s="51"/>
    </row>
    <row r="872">
      <c r="B872" s="51"/>
    </row>
    <row r="873">
      <c r="B873" s="51"/>
    </row>
    <row r="874">
      <c r="B874" s="51"/>
    </row>
    <row r="875">
      <c r="B875" s="51"/>
    </row>
    <row r="876">
      <c r="B876" s="51"/>
    </row>
    <row r="877">
      <c r="B877" s="51"/>
    </row>
    <row r="878">
      <c r="B878" s="51"/>
    </row>
    <row r="879">
      <c r="B879" s="51"/>
    </row>
    <row r="880">
      <c r="B880" s="51"/>
    </row>
    <row r="881">
      <c r="B881" s="51"/>
    </row>
    <row r="882">
      <c r="B882" s="51"/>
    </row>
    <row r="883">
      <c r="B883" s="51"/>
    </row>
    <row r="884">
      <c r="B884" s="51"/>
    </row>
    <row r="885">
      <c r="B885" s="51"/>
    </row>
    <row r="886">
      <c r="B886" s="51"/>
    </row>
    <row r="887">
      <c r="B887" s="51"/>
    </row>
    <row r="888">
      <c r="B888" s="51"/>
    </row>
    <row r="889">
      <c r="B889" s="51"/>
    </row>
    <row r="890">
      <c r="B890" s="51"/>
    </row>
    <row r="891">
      <c r="B891" s="51"/>
    </row>
    <row r="892">
      <c r="B892" s="51"/>
    </row>
    <row r="893">
      <c r="B893" s="51"/>
    </row>
    <row r="894">
      <c r="B894" s="51"/>
    </row>
    <row r="895">
      <c r="B895" s="51"/>
    </row>
    <row r="896">
      <c r="B896" s="51"/>
    </row>
    <row r="897">
      <c r="B897" s="51"/>
    </row>
    <row r="898">
      <c r="B898" s="51"/>
    </row>
    <row r="899">
      <c r="B899" s="51"/>
    </row>
    <row r="900">
      <c r="B900" s="51"/>
    </row>
    <row r="901">
      <c r="B901" s="51"/>
    </row>
    <row r="902">
      <c r="B902" s="51"/>
    </row>
    <row r="903">
      <c r="B903" s="51"/>
    </row>
    <row r="904">
      <c r="B904" s="51"/>
    </row>
    <row r="905">
      <c r="B905" s="51"/>
    </row>
    <row r="906">
      <c r="B906" s="51"/>
    </row>
    <row r="907">
      <c r="B907" s="51"/>
    </row>
    <row r="908">
      <c r="B908" s="51"/>
    </row>
    <row r="909">
      <c r="B909" s="51"/>
    </row>
    <row r="910">
      <c r="B910" s="51"/>
    </row>
    <row r="911">
      <c r="B911" s="51"/>
    </row>
    <row r="912">
      <c r="B912" s="51"/>
    </row>
    <row r="913">
      <c r="B913" s="51"/>
    </row>
    <row r="914">
      <c r="B914" s="51"/>
    </row>
    <row r="915">
      <c r="B915" s="51"/>
    </row>
    <row r="916">
      <c r="B916" s="51"/>
    </row>
    <row r="917">
      <c r="B917" s="51"/>
    </row>
    <row r="918">
      <c r="B918" s="51"/>
    </row>
    <row r="919">
      <c r="B919" s="51"/>
    </row>
    <row r="920">
      <c r="B920" s="51"/>
    </row>
    <row r="921">
      <c r="B921" s="51"/>
    </row>
    <row r="922">
      <c r="B922" s="51"/>
    </row>
    <row r="923">
      <c r="B923" s="51"/>
    </row>
    <row r="924">
      <c r="B924" s="51"/>
    </row>
    <row r="925">
      <c r="B925" s="51"/>
    </row>
    <row r="926">
      <c r="B926" s="51"/>
    </row>
    <row r="927">
      <c r="B927" s="51"/>
    </row>
    <row r="928">
      <c r="B928" s="51"/>
    </row>
    <row r="929">
      <c r="B929" s="51"/>
    </row>
    <row r="930">
      <c r="B930" s="51"/>
    </row>
    <row r="931">
      <c r="B931" s="51"/>
    </row>
    <row r="932">
      <c r="B932" s="51"/>
    </row>
    <row r="933">
      <c r="B933" s="51"/>
    </row>
    <row r="934">
      <c r="B934" s="51"/>
    </row>
    <row r="935">
      <c r="B935" s="51"/>
    </row>
    <row r="936">
      <c r="B936" s="51"/>
    </row>
    <row r="937">
      <c r="B937" s="51"/>
    </row>
    <row r="938">
      <c r="B938" s="51"/>
    </row>
    <row r="939">
      <c r="B939" s="51"/>
    </row>
    <row r="940">
      <c r="B940" s="51"/>
    </row>
    <row r="941">
      <c r="B941" s="51"/>
    </row>
    <row r="942">
      <c r="B942" s="51"/>
    </row>
    <row r="943">
      <c r="B943" s="51"/>
    </row>
    <row r="944">
      <c r="B944" s="51"/>
    </row>
    <row r="945">
      <c r="B945" s="51"/>
    </row>
    <row r="946">
      <c r="B946" s="51"/>
    </row>
    <row r="947">
      <c r="B947" s="51"/>
    </row>
    <row r="948">
      <c r="B948" s="51"/>
    </row>
    <row r="949">
      <c r="B949" s="51"/>
    </row>
    <row r="950">
      <c r="B950" s="51"/>
    </row>
    <row r="951">
      <c r="B951" s="51"/>
    </row>
    <row r="952">
      <c r="B952" s="51"/>
    </row>
    <row r="953">
      <c r="B953" s="51"/>
    </row>
    <row r="954">
      <c r="B954" s="51"/>
    </row>
    <row r="955">
      <c r="B955" s="51"/>
    </row>
    <row r="956">
      <c r="B956" s="51"/>
    </row>
    <row r="957">
      <c r="B957" s="51"/>
    </row>
    <row r="958">
      <c r="B958" s="51"/>
    </row>
    <row r="959">
      <c r="B959" s="51"/>
    </row>
    <row r="960">
      <c r="B960" s="51"/>
    </row>
    <row r="961">
      <c r="B961" s="51"/>
    </row>
    <row r="962">
      <c r="B962" s="51"/>
    </row>
    <row r="963">
      <c r="B963" s="51"/>
    </row>
    <row r="964">
      <c r="B964" s="51"/>
    </row>
    <row r="965">
      <c r="B965" s="51"/>
    </row>
    <row r="966">
      <c r="B966" s="51"/>
    </row>
    <row r="967">
      <c r="B967" s="51"/>
    </row>
    <row r="968">
      <c r="B968" s="51"/>
    </row>
    <row r="969">
      <c r="B969" s="51"/>
    </row>
    <row r="970">
      <c r="B970" s="51"/>
    </row>
    <row r="971">
      <c r="B971" s="51"/>
    </row>
    <row r="972">
      <c r="B972" s="51"/>
    </row>
    <row r="973">
      <c r="B973" s="51"/>
    </row>
    <row r="974">
      <c r="B974" s="51"/>
    </row>
    <row r="975">
      <c r="B975" s="51"/>
    </row>
    <row r="976">
      <c r="B976" s="51"/>
    </row>
    <row r="977">
      <c r="B977" s="51"/>
    </row>
    <row r="978">
      <c r="B978" s="51"/>
    </row>
    <row r="979">
      <c r="B979" s="51"/>
    </row>
    <row r="980">
      <c r="B980" s="51"/>
    </row>
    <row r="981">
      <c r="B981" s="51"/>
    </row>
    <row r="982">
      <c r="B982" s="51"/>
    </row>
    <row r="983">
      <c r="B983" s="51"/>
    </row>
    <row r="984">
      <c r="B984" s="51"/>
    </row>
    <row r="985">
      <c r="B985" s="51"/>
    </row>
    <row r="986">
      <c r="B986" s="51"/>
    </row>
    <row r="987">
      <c r="B987" s="51"/>
    </row>
    <row r="988">
      <c r="B988" s="51"/>
    </row>
    <row r="989">
      <c r="B989" s="51"/>
    </row>
    <row r="990">
      <c r="B990" s="51"/>
    </row>
    <row r="991">
      <c r="B991" s="51"/>
    </row>
    <row r="992">
      <c r="B992" s="51"/>
    </row>
    <row r="993">
      <c r="B993" s="51"/>
    </row>
    <row r="994">
      <c r="B994" s="51"/>
    </row>
    <row r="995">
      <c r="B995" s="51"/>
    </row>
    <row r="996">
      <c r="B996" s="51"/>
    </row>
    <row r="997">
      <c r="B997" s="51"/>
    </row>
    <row r="998">
      <c r="B998" s="51"/>
    </row>
    <row r="999">
      <c r="B999" s="51"/>
    </row>
    <row r="1000">
      <c r="B1000" s="5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9"/>
    <row r="20"/>
    <row r="21"/>
    <row r="22"/>
    <row r="23"/>
    <row r="24"/>
    <row r="25"/>
    <row r="28"/>
    <row r="29"/>
    <row r="30"/>
    <row r="31"/>
    <row r="32"/>
    <row r="33"/>
    <row r="34"/>
    <row r="35"/>
    <row r="36"/>
    <row r="37"/>
    <row r="38"/>
    <row r="39"/>
    <row r="40"/>
    <row r="41"/>
  </sheetData>
  <drawing r:id="rId5"/>
</worksheet>
</file>